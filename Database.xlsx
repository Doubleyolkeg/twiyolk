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REIT\VoCs相似度\Similarity\"/>
    </mc:Choice>
  </mc:AlternateContent>
  <xr:revisionPtr revIDLastSave="0" documentId="8_{7870C68B-E7CC-41F4-9B42-B9A1ED08B9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VOC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2" i="2" l="1"/>
  <c r="V52" i="2"/>
  <c r="Z52" i="2"/>
  <c r="AM52" i="2"/>
  <c r="BG52" i="2"/>
  <c r="BL50" i="2"/>
  <c r="BL49" i="2"/>
  <c r="BP45" i="2"/>
  <c r="BN45" i="2"/>
  <c r="BI45" i="2"/>
  <c r="BH45" i="2"/>
  <c r="BF45" i="2"/>
  <c r="BD45" i="2"/>
  <c r="AV45" i="2"/>
  <c r="AA45" i="2"/>
  <c r="V45" i="2"/>
  <c r="T45" i="2"/>
  <c r="K45" i="2"/>
  <c r="F45" i="2"/>
  <c r="BP44" i="2"/>
  <c r="BO44" i="2"/>
  <c r="BM44" i="2"/>
  <c r="BF44" i="2"/>
  <c r="BB44" i="2"/>
  <c r="BA44" i="2"/>
  <c r="AY44" i="2"/>
  <c r="AV44" i="2"/>
  <c r="AT44" i="2"/>
  <c r="AO44" i="2"/>
  <c r="AC44" i="2"/>
  <c r="Y44" i="2"/>
  <c r="W44" i="2"/>
  <c r="S44" i="2"/>
  <c r="Q44" i="2"/>
  <c r="O44" i="2"/>
  <c r="K44" i="2"/>
  <c r="J44" i="2"/>
  <c r="I44" i="2"/>
  <c r="H44" i="2"/>
  <c r="E44" i="2"/>
  <c r="BN43" i="2"/>
  <c r="BK43" i="2"/>
  <c r="BJ43" i="2"/>
  <c r="BI43" i="2"/>
  <c r="BH43" i="2"/>
  <c r="BF43" i="2"/>
  <c r="BD43" i="2"/>
  <c r="BC43" i="2"/>
  <c r="BB43" i="2"/>
  <c r="BA43" i="2"/>
  <c r="AV43" i="2"/>
  <c r="AU43" i="2"/>
  <c r="AT43" i="2"/>
  <c r="AS43" i="2"/>
  <c r="AN43" i="2"/>
  <c r="AM43" i="2"/>
  <c r="AL43" i="2"/>
  <c r="AI43" i="2"/>
  <c r="AF43" i="2"/>
  <c r="AE43" i="2"/>
  <c r="AD43" i="2"/>
  <c r="AC43" i="2"/>
  <c r="AB43" i="2"/>
  <c r="AA43" i="2"/>
  <c r="Y43" i="2"/>
  <c r="X43" i="2"/>
  <c r="W43" i="2"/>
  <c r="V43" i="2"/>
  <c r="U43" i="2"/>
  <c r="T43" i="2"/>
  <c r="R43" i="2"/>
  <c r="Q43" i="2"/>
  <c r="P43" i="2"/>
  <c r="O43" i="2"/>
  <c r="J43" i="2"/>
  <c r="G43" i="2"/>
  <c r="E43" i="2"/>
  <c r="D43" i="2"/>
  <c r="BO42" i="2"/>
  <c r="BM42" i="2"/>
  <c r="BK42" i="2"/>
  <c r="BJ42" i="2"/>
  <c r="BI42" i="2"/>
  <c r="BH42" i="2"/>
  <c r="BC42" i="2"/>
  <c r="BB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C42" i="2"/>
  <c r="AB42" i="2"/>
  <c r="AA42" i="2"/>
  <c r="Y42" i="2"/>
  <c r="T42" i="2"/>
  <c r="S42" i="2"/>
  <c r="O42" i="2"/>
  <c r="N42" i="2"/>
  <c r="M42" i="2"/>
  <c r="L42" i="2"/>
  <c r="K42" i="2"/>
  <c r="J42" i="2"/>
  <c r="I42" i="2"/>
  <c r="H42" i="2"/>
  <c r="G42" i="2"/>
  <c r="F42" i="2"/>
  <c r="D42" i="2"/>
  <c r="BM41" i="2"/>
  <c r="BK41" i="2"/>
  <c r="BJ41" i="2"/>
  <c r="BH41" i="2"/>
  <c r="BE41" i="2"/>
  <c r="BD41" i="2"/>
  <c r="BC41" i="2"/>
  <c r="BB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A41" i="2"/>
  <c r="Y41" i="2"/>
  <c r="X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H41" i="2"/>
  <c r="G41" i="2"/>
  <c r="F41" i="2"/>
  <c r="E41" i="2"/>
  <c r="D41" i="2"/>
  <c r="BK40" i="2"/>
  <c r="BH40" i="2"/>
  <c r="BE40" i="2"/>
  <c r="BC40" i="2"/>
  <c r="BC52" i="2" s="1"/>
  <c r="BB40" i="2"/>
  <c r="AT40" i="2"/>
  <c r="AN40" i="2"/>
  <c r="AD40" i="2"/>
  <c r="AC40" i="2"/>
  <c r="AB40" i="2"/>
  <c r="AA40" i="2"/>
  <c r="Y40" i="2"/>
  <c r="W40" i="2"/>
  <c r="V40" i="2"/>
  <c r="S40" i="2"/>
  <c r="O40" i="2"/>
  <c r="I40" i="2"/>
  <c r="E40" i="2"/>
  <c r="D40" i="2"/>
  <c r="BM39" i="2"/>
  <c r="BJ39" i="2"/>
  <c r="BH39" i="2"/>
  <c r="BF39" i="2"/>
  <c r="BD39" i="2"/>
  <c r="BC39" i="2"/>
  <c r="BB39" i="2"/>
  <c r="AZ39" i="2"/>
  <c r="AY39" i="2"/>
  <c r="AX39" i="2"/>
  <c r="AW39" i="2"/>
  <c r="AV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Y39" i="2"/>
  <c r="X39" i="2"/>
  <c r="W39" i="2"/>
  <c r="V39" i="2"/>
  <c r="U39" i="2"/>
  <c r="T39" i="2"/>
  <c r="S39" i="2"/>
  <c r="R39" i="2"/>
  <c r="Q39" i="2"/>
  <c r="O39" i="2"/>
  <c r="N39" i="2"/>
  <c r="M39" i="2"/>
  <c r="L39" i="2"/>
  <c r="K39" i="2"/>
  <c r="J39" i="2"/>
  <c r="I39" i="2"/>
  <c r="G39" i="2"/>
  <c r="F39" i="2"/>
  <c r="E39" i="2"/>
  <c r="D39" i="2"/>
  <c r="BO38" i="2"/>
  <c r="BM38" i="2"/>
  <c r="BL38" i="2"/>
  <c r="BH38" i="2"/>
  <c r="BD38" i="2"/>
  <c r="BA38" i="2"/>
  <c r="AU38" i="2"/>
  <c r="AQ38" i="2"/>
  <c r="AN38" i="2"/>
  <c r="AL38" i="2"/>
  <c r="AH38" i="2"/>
  <c r="AF38" i="2"/>
  <c r="AA38" i="2"/>
  <c r="Y38" i="2"/>
  <c r="X38" i="2"/>
  <c r="W38" i="2"/>
  <c r="V38" i="2"/>
  <c r="U38" i="2"/>
  <c r="T38" i="2"/>
  <c r="S38" i="2"/>
  <c r="R38" i="2"/>
  <c r="P38" i="2"/>
  <c r="O38" i="2"/>
  <c r="M38" i="2"/>
  <c r="K38" i="2"/>
  <c r="I38" i="2"/>
  <c r="H38" i="2"/>
  <c r="F38" i="2"/>
  <c r="BN37" i="2"/>
  <c r="BH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BN36" i="2"/>
  <c r="BM36" i="2"/>
  <c r="BH36" i="2"/>
  <c r="BE36" i="2"/>
  <c r="BB36" i="2"/>
  <c r="BA36" i="2"/>
  <c r="AZ36" i="2"/>
  <c r="AY36" i="2"/>
  <c r="AV36" i="2"/>
  <c r="AS36" i="2"/>
  <c r="AR36" i="2"/>
  <c r="AQ36" i="2"/>
  <c r="AN36" i="2"/>
  <c r="AL36" i="2"/>
  <c r="AK36" i="2"/>
  <c r="AI36" i="2"/>
  <c r="AH36" i="2"/>
  <c r="AG36" i="2"/>
  <c r="AF36" i="2"/>
  <c r="AE36" i="2"/>
  <c r="AC36" i="2"/>
  <c r="AB36" i="2"/>
  <c r="W36" i="2"/>
  <c r="V36" i="2"/>
  <c r="R36" i="2"/>
  <c r="O36" i="2"/>
  <c r="M36" i="2"/>
  <c r="K36" i="2"/>
  <c r="J36" i="2"/>
  <c r="I36" i="2"/>
  <c r="G36" i="2"/>
  <c r="E36" i="2"/>
  <c r="BO35" i="2"/>
  <c r="BN35" i="2"/>
  <c r="BM35" i="2"/>
  <c r="BJ35" i="2"/>
  <c r="BI35" i="2"/>
  <c r="BH35" i="2"/>
  <c r="BF35" i="2"/>
  <c r="BE35" i="2"/>
  <c r="BD35" i="2"/>
  <c r="BC35" i="2"/>
  <c r="BB35" i="2"/>
  <c r="BB52" i="2" s="1"/>
  <c r="BA35" i="2"/>
  <c r="AZ35" i="2"/>
  <c r="AY35" i="2"/>
  <c r="AX35" i="2"/>
  <c r="AW35" i="2"/>
  <c r="AV35" i="2"/>
  <c r="AU35" i="2"/>
  <c r="AT35" i="2"/>
  <c r="AS35" i="2"/>
  <c r="AR35" i="2"/>
  <c r="AQ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Y35" i="2"/>
  <c r="X35" i="2"/>
  <c r="V35" i="2"/>
  <c r="T35" i="2"/>
  <c r="S35" i="2"/>
  <c r="R35" i="2"/>
  <c r="Q35" i="2"/>
  <c r="O35" i="2"/>
  <c r="N35" i="2"/>
  <c r="M35" i="2"/>
  <c r="L35" i="2"/>
  <c r="K35" i="2"/>
  <c r="J35" i="2"/>
  <c r="I35" i="2"/>
  <c r="H35" i="2"/>
  <c r="G35" i="2"/>
  <c r="F35" i="2"/>
  <c r="E35" i="2"/>
  <c r="D35" i="2"/>
  <c r="BN34" i="2"/>
  <c r="BJ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M33" i="2"/>
  <c r="BJ33" i="2"/>
  <c r="BI33" i="2"/>
  <c r="BF33" i="2"/>
  <c r="BD33" i="2"/>
  <c r="BC33" i="2"/>
  <c r="BB33" i="2"/>
  <c r="AY33" i="2"/>
  <c r="AW33" i="2"/>
  <c r="AV33" i="2"/>
  <c r="AU33" i="2"/>
  <c r="AT33" i="2"/>
  <c r="AS33" i="2"/>
  <c r="AR33" i="2"/>
  <c r="AQ33" i="2"/>
  <c r="AO33" i="2"/>
  <c r="AN33" i="2"/>
  <c r="AM33" i="2"/>
  <c r="AL33" i="2"/>
  <c r="AK33" i="2"/>
  <c r="AK52" i="2" s="1"/>
  <c r="AJ33" i="2"/>
  <c r="AF33" i="2"/>
  <c r="AE33" i="2"/>
  <c r="AC33" i="2"/>
  <c r="AB33" i="2"/>
  <c r="AA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O32" i="2"/>
  <c r="BF32" i="2"/>
  <c r="BB32" i="2"/>
  <c r="BA32" i="2"/>
  <c r="AZ32" i="2"/>
  <c r="AY32" i="2"/>
  <c r="AX32" i="2"/>
  <c r="AW32" i="2"/>
  <c r="AV32" i="2"/>
  <c r="AS32" i="2"/>
  <c r="AR32" i="2"/>
  <c r="AQ32" i="2"/>
  <c r="AP32" i="2"/>
  <c r="AK32" i="2"/>
  <c r="AJ32" i="2"/>
  <c r="AI32" i="2"/>
  <c r="AH32" i="2"/>
  <c r="AG32" i="2"/>
  <c r="AF32" i="2"/>
  <c r="AE32" i="2"/>
  <c r="AC32" i="2"/>
  <c r="AB32" i="2"/>
  <c r="V32" i="2"/>
  <c r="U32" i="2"/>
  <c r="T32" i="2"/>
  <c r="S32" i="2"/>
  <c r="R32" i="2"/>
  <c r="Q32" i="2"/>
  <c r="P32" i="2"/>
  <c r="O32" i="2"/>
  <c r="N32" i="2"/>
  <c r="M32" i="2"/>
  <c r="K32" i="2"/>
  <c r="J32" i="2"/>
  <c r="F32" i="2"/>
  <c r="D32" i="2"/>
  <c r="BP31" i="2"/>
  <c r="BO31" i="2"/>
  <c r="BN31" i="2"/>
  <c r="BM31" i="2"/>
  <c r="BL31" i="2"/>
  <c r="BL52" i="2" s="1"/>
  <c r="BJ31" i="2"/>
  <c r="BI31" i="2"/>
  <c r="BH31" i="2"/>
  <c r="BF31" i="2"/>
  <c r="BE31" i="2"/>
  <c r="BD31" i="2"/>
  <c r="BC31" i="2"/>
  <c r="BB31" i="2"/>
  <c r="BA31" i="2"/>
  <c r="AZ31" i="2"/>
  <c r="AY31" i="2"/>
  <c r="AY52" i="2" s="1"/>
  <c r="AX31" i="2"/>
  <c r="AW31" i="2"/>
  <c r="AV31" i="2"/>
  <c r="AU31" i="2"/>
  <c r="AT31" i="2"/>
  <c r="AS31" i="2"/>
  <c r="AS52" i="2" s="1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P30" i="2"/>
  <c r="BP52" i="2" s="1"/>
  <c r="BO30" i="2"/>
  <c r="BO52" i="2" s="1"/>
  <c r="BN30" i="2"/>
  <c r="BN52" i="2" s="1"/>
  <c r="BM30" i="2"/>
  <c r="BM52" i="2" s="1"/>
  <c r="BK30" i="2"/>
  <c r="BK52" i="2" s="1"/>
  <c r="BJ30" i="2"/>
  <c r="BJ52" i="2" s="1"/>
  <c r="BI30" i="2"/>
  <c r="BI52" i="2" s="1"/>
  <c r="BH30" i="2"/>
  <c r="BH52" i="2" s="1"/>
  <c r="BF30" i="2"/>
  <c r="BF52" i="2" s="1"/>
  <c r="BE30" i="2"/>
  <c r="BE52" i="2" s="1"/>
  <c r="BD30" i="2"/>
  <c r="BD52" i="2" s="1"/>
  <c r="BC30" i="2"/>
  <c r="BB30" i="2"/>
  <c r="BA30" i="2"/>
  <c r="BA52" i="2" s="1"/>
  <c r="AZ30" i="2"/>
  <c r="AZ52" i="2" s="1"/>
  <c r="AX30" i="2"/>
  <c r="AX52" i="2" s="1"/>
  <c r="AW30" i="2"/>
  <c r="AW52" i="2" s="1"/>
  <c r="AV30" i="2"/>
  <c r="AV52" i="2" s="1"/>
  <c r="AU30" i="2"/>
  <c r="AU52" i="2" s="1"/>
  <c r="AT30" i="2"/>
  <c r="AT52" i="2" s="1"/>
  <c r="AR30" i="2"/>
  <c r="AR52" i="2" s="1"/>
  <c r="AQ30" i="2"/>
  <c r="AQ52" i="2" s="1"/>
  <c r="AP30" i="2"/>
  <c r="AP52" i="2" s="1"/>
  <c r="AO30" i="2"/>
  <c r="AO52" i="2" s="1"/>
  <c r="AN30" i="2"/>
  <c r="AN52" i="2" s="1"/>
  <c r="AM30" i="2"/>
  <c r="AL30" i="2"/>
  <c r="AK30" i="2"/>
  <c r="AJ30" i="2"/>
  <c r="AJ52" i="2" s="1"/>
  <c r="AI30" i="2"/>
  <c r="AI52" i="2" s="1"/>
  <c r="AH30" i="2"/>
  <c r="AH52" i="2" s="1"/>
  <c r="AG30" i="2"/>
  <c r="AG52" i="2" s="1"/>
  <c r="AF30" i="2"/>
  <c r="AF52" i="2" s="1"/>
  <c r="AE30" i="2"/>
  <c r="AE52" i="2" s="1"/>
  <c r="AD30" i="2"/>
  <c r="AD52" i="2" s="1"/>
  <c r="AC30" i="2"/>
  <c r="AC52" i="2" s="1"/>
  <c r="AB30" i="2"/>
  <c r="AB52" i="2" s="1"/>
  <c r="AA30" i="2"/>
  <c r="AA52" i="2" s="1"/>
  <c r="Y30" i="2"/>
  <c r="Y52" i="2" s="1"/>
  <c r="X30" i="2"/>
  <c r="X52" i="2" s="1"/>
  <c r="W30" i="2"/>
  <c r="W52" i="2" s="1"/>
  <c r="V30" i="2"/>
  <c r="U30" i="2"/>
  <c r="T30" i="2"/>
  <c r="S30" i="2"/>
  <c r="R30" i="2"/>
  <c r="R52" i="2" s="1"/>
  <c r="Q30" i="2"/>
  <c r="Q52" i="2" s="1"/>
  <c r="P30" i="2"/>
  <c r="P52" i="2" s="1"/>
  <c r="O30" i="2"/>
  <c r="O52" i="2" s="1"/>
  <c r="N30" i="2"/>
  <c r="M30" i="2"/>
  <c r="M52" i="2" s="1"/>
  <c r="L30" i="2"/>
  <c r="L52" i="2" s="1"/>
  <c r="K30" i="2"/>
  <c r="K52" i="2" s="1"/>
  <c r="J30" i="2"/>
  <c r="J52" i="2" s="1"/>
  <c r="I30" i="2"/>
  <c r="I52" i="2" s="1"/>
  <c r="H30" i="2"/>
  <c r="H52" i="2" s="1"/>
  <c r="G30" i="2"/>
  <c r="G52" i="2" s="1"/>
  <c r="F30" i="2"/>
  <c r="F52" i="2" s="1"/>
  <c r="E30" i="2"/>
  <c r="E52" i="2" s="1"/>
  <c r="D30" i="2"/>
  <c r="D52" i="2" s="1"/>
</calcChain>
</file>

<file path=xl/sharedStrings.xml><?xml version="1.0" encoding="utf-8"?>
<sst xmlns="http://schemas.openxmlformats.org/spreadsheetml/2006/main" count="118" uniqueCount="118">
  <si>
    <t>23G49520</t>
  </si>
  <si>
    <t>23G49522</t>
  </si>
  <si>
    <t>23G49523</t>
  </si>
  <si>
    <t>23G49527</t>
  </si>
  <si>
    <t>23G49528</t>
  </si>
  <si>
    <t>23G49529</t>
  </si>
  <si>
    <t>23G49530</t>
  </si>
  <si>
    <t>DA024</t>
  </si>
  <si>
    <t>DA025</t>
  </si>
  <si>
    <t>DA026</t>
  </si>
  <si>
    <t>EX4E02A</t>
  </si>
  <si>
    <t>EX4E08A</t>
  </si>
  <si>
    <t>EX52A05</t>
  </si>
  <si>
    <t>EX52A15</t>
  </si>
  <si>
    <t>EX52B07</t>
  </si>
  <si>
    <t>EX52B09</t>
  </si>
  <si>
    <t>EX52B12</t>
  </si>
  <si>
    <t>EX52B14</t>
  </si>
  <si>
    <t>EX69A01</t>
  </si>
  <si>
    <t>EX69A03</t>
  </si>
  <si>
    <t>EX69A05</t>
  </si>
  <si>
    <t>EX69A07</t>
  </si>
  <si>
    <t>EX69B01</t>
  </si>
  <si>
    <t>EX69B03</t>
  </si>
  <si>
    <t>EX69B05</t>
  </si>
  <si>
    <t>EX69B07</t>
  </si>
  <si>
    <t>EX202</t>
  </si>
  <si>
    <t>EX204</t>
  </si>
  <si>
    <t>EX401A</t>
  </si>
  <si>
    <t>EX404A</t>
  </si>
  <si>
    <t>EX411A</t>
  </si>
  <si>
    <t>EX417A</t>
  </si>
  <si>
    <t>EX421A</t>
  </si>
  <si>
    <t>EX425A</t>
  </si>
  <si>
    <t>EX449D</t>
  </si>
  <si>
    <t>EX451</t>
  </si>
  <si>
    <t>EX2404</t>
  </si>
  <si>
    <t>EX2414D</t>
  </si>
  <si>
    <t>EX3406A</t>
  </si>
  <si>
    <t>EX3411A</t>
  </si>
  <si>
    <t>EX3438D</t>
  </si>
  <si>
    <t>GH01</t>
  </si>
  <si>
    <t>GH02</t>
  </si>
  <si>
    <t>GM01</t>
  </si>
  <si>
    <t>GM02</t>
  </si>
  <si>
    <t>GM03</t>
  </si>
  <si>
    <t>GP01</t>
  </si>
  <si>
    <t>GP02</t>
  </si>
  <si>
    <t>GP03</t>
  </si>
  <si>
    <t>GP04</t>
  </si>
  <si>
    <t>GS01</t>
  </si>
  <si>
    <t>GTW01</t>
  </si>
  <si>
    <t>GTW02</t>
  </si>
  <si>
    <t>GTW03</t>
  </si>
  <si>
    <t>序号</t>
  </si>
  <si>
    <t>化合物名称</t>
  </si>
  <si>
    <r>
      <rPr>
        <b/>
        <sz val="12"/>
        <color rgb="FF333333"/>
        <rFont val="Times New Roman"/>
        <family val="1"/>
      </rPr>
      <t>TW</t>
    </r>
    <r>
      <rPr>
        <b/>
        <sz val="12"/>
        <color rgb="FF333333"/>
        <rFont val="宋体"/>
        <family val="3"/>
        <charset val="134"/>
      </rPr>
      <t>两轮北</t>
    </r>
  </si>
  <si>
    <r>
      <rPr>
        <b/>
        <sz val="12"/>
        <color rgb="FF333333"/>
        <rFont val="Times New Roman"/>
        <family val="1"/>
      </rPr>
      <t>TW</t>
    </r>
    <r>
      <rPr>
        <b/>
        <sz val="12"/>
        <color rgb="FF333333"/>
        <rFont val="宋体"/>
        <family val="3"/>
        <charset val="134"/>
      </rPr>
      <t>两轮南</t>
    </r>
  </si>
  <si>
    <t>马牌塔</t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</si>
  <si>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-1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</si>
  <si>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-3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</si>
  <si>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-4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</si>
  <si>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-5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</si>
  <si>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-6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</si>
  <si>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-7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</si>
  <si>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-8</t>
    </r>
  </si>
  <si>
    <r>
      <rPr>
        <b/>
        <sz val="12"/>
        <color rgb="FF333333"/>
        <rFont val="Times New Roman"/>
        <family val="1"/>
      </rPr>
      <t>14</t>
    </r>
    <r>
      <rPr>
        <b/>
        <sz val="12"/>
        <color rgb="FF333333"/>
        <rFont val="宋体"/>
        <family val="3"/>
        <charset val="134"/>
      </rPr>
      <t>栋</t>
    </r>
    <r>
      <rPr>
        <b/>
        <sz val="12"/>
        <color rgb="FF333333"/>
        <rFont val="Times New Roman"/>
        <family val="1"/>
      </rPr>
      <t>12</t>
    </r>
    <r>
      <rPr>
        <b/>
        <sz val="12"/>
        <color rgb="FF333333"/>
        <rFont val="宋体"/>
        <family val="3"/>
        <charset val="134"/>
      </rPr>
      <t>层</t>
    </r>
  </si>
  <si>
    <r>
      <rPr>
        <b/>
        <sz val="12"/>
        <color rgb="FF333333"/>
        <rFont val="Times New Roman"/>
        <family val="1"/>
      </rPr>
      <t>14</t>
    </r>
    <r>
      <rPr>
        <b/>
        <sz val="12"/>
        <color rgb="FF333333"/>
        <rFont val="宋体"/>
        <family val="3"/>
        <charset val="134"/>
      </rPr>
      <t>栋</t>
    </r>
    <r>
      <rPr>
        <b/>
        <sz val="12"/>
        <color rgb="FF333333"/>
        <rFont val="Times New Roman"/>
        <family val="1"/>
      </rPr>
      <t>24</t>
    </r>
    <r>
      <rPr>
        <b/>
        <sz val="12"/>
        <color rgb="FF333333"/>
        <rFont val="宋体"/>
        <family val="3"/>
        <charset val="134"/>
      </rPr>
      <t>层</t>
    </r>
  </si>
  <si>
    <t>丙酮</t>
  </si>
  <si>
    <t>二氯甲烷</t>
  </si>
  <si>
    <t>二硫化碳</t>
  </si>
  <si>
    <r>
      <rPr>
        <sz val="12"/>
        <rFont val="Times New Roman"/>
        <family val="1"/>
      </rPr>
      <t>2-</t>
    </r>
    <r>
      <rPr>
        <sz val="12"/>
        <rFont val="宋体"/>
        <family val="3"/>
        <charset val="134"/>
      </rPr>
      <t>丁酮</t>
    </r>
  </si>
  <si>
    <t>正己烷</t>
  </si>
  <si>
    <t>乙酸乙酯</t>
  </si>
  <si>
    <t>氯仿</t>
  </si>
  <si>
    <t>苯</t>
  </si>
  <si>
    <t>环己烷</t>
  </si>
  <si>
    <t>正庚烷</t>
  </si>
  <si>
    <r>
      <rPr>
        <sz val="12"/>
        <rFont val="Times New Roman"/>
        <family val="1"/>
      </rPr>
      <t>4-</t>
    </r>
    <r>
      <rPr>
        <sz val="12"/>
        <rFont val="宋体"/>
        <family val="3"/>
        <charset val="134"/>
      </rPr>
      <t>甲基</t>
    </r>
    <r>
      <rPr>
        <sz val="12"/>
        <rFont val="Times New Roman"/>
        <family val="1"/>
      </rPr>
      <t>-2-</t>
    </r>
    <r>
      <rPr>
        <sz val="12"/>
        <rFont val="宋体"/>
        <family val="3"/>
        <charset val="134"/>
      </rPr>
      <t>戊酮（甲基异丁酮）</t>
    </r>
  </si>
  <si>
    <t>甲苯</t>
  </si>
  <si>
    <t>氯苯</t>
  </si>
  <si>
    <t>间对二甲苯</t>
  </si>
  <si>
    <t>苯乙烯</t>
  </si>
  <si>
    <t>邻二甲苯</t>
  </si>
  <si>
    <r>
      <rPr>
        <sz val="12"/>
        <rFont val="Times New Roman"/>
        <family val="1"/>
      </rPr>
      <t>1,1,2,2-</t>
    </r>
    <r>
      <rPr>
        <sz val="12"/>
        <rFont val="宋体"/>
        <family val="3"/>
        <charset val="134"/>
      </rPr>
      <t>四氯乙烷</t>
    </r>
  </si>
  <si>
    <r>
      <rPr>
        <sz val="12"/>
        <rFont val="宋体"/>
        <family val="3"/>
        <charset val="134"/>
      </rPr>
      <t>间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对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乙基甲苯</t>
    </r>
  </si>
  <si>
    <r>
      <rPr>
        <sz val="12"/>
        <rFont val="Times New Roman"/>
        <family val="1"/>
      </rPr>
      <t>1,3,5-</t>
    </r>
    <r>
      <rPr>
        <sz val="12"/>
        <rFont val="宋体"/>
        <family val="3"/>
        <charset val="134"/>
      </rPr>
      <t>三甲苯</t>
    </r>
  </si>
  <si>
    <r>
      <rPr>
        <sz val="12"/>
        <rFont val="Times New Roman"/>
        <family val="1"/>
      </rPr>
      <t>1,2,4-</t>
    </r>
    <r>
      <rPr>
        <sz val="12"/>
        <rFont val="宋体"/>
        <family val="3"/>
        <charset val="134"/>
      </rPr>
      <t>三甲苯</t>
    </r>
  </si>
  <si>
    <t>萘</t>
  </si>
  <si>
    <t>乙苯</t>
  </si>
  <si>
    <t>异丙醇</t>
  </si>
  <si>
    <t>甲基丙烯酸甲酯</t>
  </si>
  <si>
    <r>
      <rPr>
        <sz val="12"/>
        <rFont val="Times New Roman"/>
        <family val="1"/>
      </rPr>
      <t>1,1-</t>
    </r>
    <r>
      <rPr>
        <sz val="12"/>
        <rFont val="宋体"/>
        <family val="3"/>
        <charset val="134"/>
      </rPr>
      <t>二氯乙烷</t>
    </r>
  </si>
  <si>
    <r>
      <rPr>
        <sz val="12"/>
        <rFont val="Times New Roman"/>
        <family val="1"/>
      </rPr>
      <t>1,2-</t>
    </r>
    <r>
      <rPr>
        <sz val="12"/>
        <rFont val="宋体"/>
        <family val="3"/>
        <charset val="134"/>
      </rPr>
      <t>二氯丙烷</t>
    </r>
  </si>
  <si>
    <r>
      <rPr>
        <sz val="12"/>
        <rFont val="Times New Roman"/>
        <family val="1"/>
      </rPr>
      <t>1,2-</t>
    </r>
    <r>
      <rPr>
        <sz val="12"/>
        <rFont val="宋体"/>
        <family val="3"/>
        <charset val="134"/>
      </rPr>
      <t>二氯乙烷</t>
    </r>
  </si>
  <si>
    <t>氯化苄</t>
  </si>
  <si>
    <t>二甲胺</t>
  </si>
  <si>
    <t>丙醛</t>
  </si>
  <si>
    <t>异丁醛</t>
  </si>
  <si>
    <t>正丁醛</t>
  </si>
  <si>
    <t>正丁醇</t>
  </si>
  <si>
    <t>丙烯酸乙酯</t>
  </si>
  <si>
    <t>乙酸异丁酯</t>
  </si>
  <si>
    <t>乙酸丁酯</t>
  </si>
  <si>
    <r>
      <rPr>
        <sz val="12"/>
        <rFont val="Times New Roman"/>
        <family val="1"/>
      </rPr>
      <t>α-</t>
    </r>
    <r>
      <rPr>
        <sz val="12"/>
        <rFont val="宋体"/>
        <family val="3"/>
        <charset val="134"/>
      </rPr>
      <t>蒎烯</t>
    </r>
  </si>
  <si>
    <t>柠檬烯</t>
  </si>
  <si>
    <t>异戊二烯</t>
  </si>
  <si>
    <t>异丁醇</t>
  </si>
  <si>
    <t>异戊醛</t>
  </si>
  <si>
    <r>
      <rPr>
        <sz val="12"/>
        <rFont val="Times New Roman"/>
        <family val="1"/>
      </rPr>
      <t>β-</t>
    </r>
    <r>
      <rPr>
        <sz val="12"/>
        <rFont val="宋体"/>
        <family val="3"/>
        <charset val="134"/>
      </rPr>
      <t>蒎烯</t>
    </r>
  </si>
  <si>
    <t>正戊醛</t>
  </si>
  <si>
    <t>羰基硫</t>
  </si>
  <si>
    <t>乙硫醚</t>
  </si>
  <si>
    <t>二甲二硫</t>
  </si>
  <si>
    <t>丙烯酸甲酯</t>
  </si>
  <si>
    <t>甲硫醚</t>
  </si>
  <si>
    <t>甲硫醇</t>
  </si>
  <si>
    <t>乙酸正丁酯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</si>
</sst>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12"/>
      <name val="Times New Roman"/>
      <family val="1"/>
    </font>
    <font>
      <b/>
      <sz val="12"/>
      <color rgb="FF333333"/>
      <name val="宋体"/>
      <family val="3"/>
      <charset val="134"/>
    </font>
    <font>
      <b/>
      <sz val="12"/>
      <color rgb="FF333333"/>
      <name val="Times New Roman"/>
      <family val="1"/>
    </font>
    <font>
      <sz val="12"/>
      <name val="宋体"/>
      <family val="3"/>
      <charset val="134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1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2" fontId="1" fillId="3" borderId="1" xfId="0" applyNumberFormat="1" applyFont="1" applyFill="1" applyBorder="1" applyAlignment="1">
      <alignment horizontal="right"/>
    </xf>
    <xf numFmtId="176" fontId="1" fillId="0" borderId="1" xfId="0" applyNumberFormat="1" applyFont="1" applyBorder="1" applyAlignment="1"/>
    <xf numFmtId="0" fontId="4" fillId="3" borderId="1" xfId="0" applyFont="1" applyFill="1" applyBorder="1" applyAlignment="1">
      <alignment horizontal="right"/>
    </xf>
    <xf numFmtId="2" fontId="5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5" fillId="0" borderId="1" xfId="0" applyFont="1" applyBorder="1" applyAlignment="1"/>
    <xf numFmtId="0" fontId="6" fillId="0" borderId="1" xfId="0" applyFont="1" applyBorder="1" applyAlignment="1"/>
    <xf numFmtId="0" fontId="4" fillId="2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00000000-0011-0000-FFFF-FFFF01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23G49522_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23G49523_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23G49527_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23G49528_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23G49529_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23G49530_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da024_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da025_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da026_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e02a_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e08a_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52A05_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52A15_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52B07_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52B09_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52B12_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52B14_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A01_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A03_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A05_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A07_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B01_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B05_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69B07_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202_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204_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01a_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04a_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11a_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17a_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21a_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25a_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49d_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451_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2404_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2414d_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3406a_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3411a_0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ex3438d_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h01_0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M01_0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M02_0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M03_0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p01_0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p02_0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p04_0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S01_0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TW01_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TW02_0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TW03_0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TW&#20004;&#36718;&#21271;_0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TW&#20004;&#36718;&#21335;_0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1_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3_0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4_0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5_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7_0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8_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14&#26635;12&#23618;_0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14&#26635;24&#23618;_0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h02_0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gp03_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165;&#21326;&#33487;&#24030;\&#22823;&#27668;&#27745;&#26579;&#28335;&#28304;\&#21512;&#32933;&#39532;&#29260;\20240617\&#25968;&#25454;&#22788;&#29702;\GCMS\&#24322;&#21619;&#29289;&#36136;&#33258;&#24314;&#24211;\&#21378;&#30028;-6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二甲胺</v>
          </cell>
          <cell r="D3">
            <v>2043.23522949219</v>
          </cell>
          <cell r="E3" t="str">
            <v>124-40-3</v>
          </cell>
          <cell r="F3">
            <v>3.1078178882598899</v>
          </cell>
        </row>
        <row r="4">
          <cell r="C4" t="str">
            <v>丙醛</v>
          </cell>
          <cell r="D4">
            <v>57.005405426025398</v>
          </cell>
          <cell r="E4" t="str">
            <v>123-38-6</v>
          </cell>
          <cell r="F4">
            <v>11.2953963279724</v>
          </cell>
        </row>
        <row r="5">
          <cell r="C5" t="str">
            <v>异戊二烯</v>
          </cell>
          <cell r="D5">
            <v>48.459564208984403</v>
          </cell>
          <cell r="E5" t="str">
            <v>78-79-5</v>
          </cell>
          <cell r="F5">
            <v>1.8601261377334599</v>
          </cell>
        </row>
        <row r="6">
          <cell r="C6" t="str">
            <v>异丁醛</v>
          </cell>
          <cell r="D6">
            <v>17.8673992156982</v>
          </cell>
          <cell r="E6" t="str">
            <v>78-84-2</v>
          </cell>
          <cell r="F6">
            <v>2.1588785648345898</v>
          </cell>
        </row>
        <row r="7">
          <cell r="C7" t="str">
            <v>正丁醛</v>
          </cell>
          <cell r="D7">
            <v>416.14907836914102</v>
          </cell>
          <cell r="E7" t="str">
            <v>123-72-8</v>
          </cell>
          <cell r="F7">
            <v>20.085027694702099</v>
          </cell>
        </row>
        <row r="8">
          <cell r="C8" t="str">
            <v>异丁醇</v>
          </cell>
          <cell r="D8">
            <v>232.14846801757801</v>
          </cell>
          <cell r="E8" t="str">
            <v>78-83-1</v>
          </cell>
          <cell r="F8">
            <v>3.8916276693344098</v>
          </cell>
        </row>
        <row r="9">
          <cell r="C9" t="str">
            <v>异戊醛</v>
          </cell>
          <cell r="D9">
            <v>318.34573364257801</v>
          </cell>
          <cell r="E9" t="str">
            <v>590-86-3</v>
          </cell>
          <cell r="F9">
            <v>4.6637296676635698</v>
          </cell>
        </row>
        <row r="10">
          <cell r="C10" t="str">
            <v>正丁醇</v>
          </cell>
          <cell r="D10">
            <v>1962.94665527344</v>
          </cell>
          <cell r="E10" t="str">
            <v>71-36-3</v>
          </cell>
          <cell r="F10">
            <v>47.269773483276403</v>
          </cell>
        </row>
        <row r="11">
          <cell r="C11" t="str">
            <v>丙烯酸乙酯</v>
          </cell>
          <cell r="D11">
            <v>396.30416870117199</v>
          </cell>
          <cell r="E11" t="str">
            <v>140-88-5</v>
          </cell>
          <cell r="F11">
            <v>2.5354194641113299</v>
          </cell>
        </row>
        <row r="12">
          <cell r="C12" t="str">
            <v>乙酸丁酯</v>
          </cell>
          <cell r="D12">
            <v>475.96450805664102</v>
          </cell>
          <cell r="E12" t="str">
            <v>123-86-4</v>
          </cell>
          <cell r="F12">
            <v>1.0962823629379299</v>
          </cell>
        </row>
        <row r="13">
          <cell r="C13" t="str">
            <v>β-蒎烯</v>
          </cell>
          <cell r="D13">
            <v>21.235549926757798</v>
          </cell>
          <cell r="E13" t="str">
            <v>127-91-3</v>
          </cell>
          <cell r="F13">
            <v>0.131853558123112</v>
          </cell>
        </row>
        <row r="14">
          <cell r="C14" t="str">
            <v>柠檬烯</v>
          </cell>
          <cell r="D14">
            <v>13.506187438964799</v>
          </cell>
          <cell r="E14" t="str">
            <v>138-86-3</v>
          </cell>
          <cell r="F14">
            <v>7.8395463526248904E-2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1520.01940917969</v>
          </cell>
          <cell r="E2" t="str">
            <v>124-40-3</v>
          </cell>
          <cell r="F2">
            <v>2.09932518005371</v>
          </cell>
        </row>
        <row r="3">
          <cell r="C3" t="str">
            <v>丙醛</v>
          </cell>
          <cell r="D3">
            <v>146.78308105468699</v>
          </cell>
          <cell r="E3" t="str">
            <v>123-38-6</v>
          </cell>
          <cell r="F3">
            <v>12.5429878234863</v>
          </cell>
        </row>
        <row r="4">
          <cell r="C4" t="str">
            <v>异戊二烯</v>
          </cell>
          <cell r="D4">
            <v>35.222873687744098</v>
          </cell>
          <cell r="E4" t="str">
            <v>78-79-5</v>
          </cell>
          <cell r="F4">
            <v>1.2276682853698699</v>
          </cell>
        </row>
        <row r="5">
          <cell r="C5" t="str">
            <v>正丁醛</v>
          </cell>
          <cell r="D5">
            <v>606.12603759765602</v>
          </cell>
          <cell r="E5" t="str">
            <v>123-72-8</v>
          </cell>
          <cell r="F5">
            <v>26.563165664672901</v>
          </cell>
        </row>
        <row r="6">
          <cell r="C6" t="str">
            <v>异丁醇</v>
          </cell>
          <cell r="D6">
            <v>335.09207153320301</v>
          </cell>
          <cell r="E6" t="str">
            <v>78-83-1</v>
          </cell>
          <cell r="F6">
            <v>2.1021573543548602</v>
          </cell>
        </row>
        <row r="7">
          <cell r="C7" t="str">
            <v>正丁醇</v>
          </cell>
          <cell r="D7">
            <v>2204.71508789063</v>
          </cell>
          <cell r="E7" t="str">
            <v>71-36-3</v>
          </cell>
          <cell r="F7">
            <v>35.934050559997601</v>
          </cell>
        </row>
        <row r="8">
          <cell r="C8" t="str">
            <v>丙烯酸乙酯</v>
          </cell>
          <cell r="D8">
            <v>213.770751953125</v>
          </cell>
          <cell r="E8" t="str">
            <v>140-88-5</v>
          </cell>
          <cell r="F8">
            <v>2.0996269583702101</v>
          </cell>
        </row>
        <row r="9">
          <cell r="C9" t="str">
            <v>正戊醛</v>
          </cell>
          <cell r="D9">
            <v>75.667953491210895</v>
          </cell>
          <cell r="E9" t="str">
            <v>110-62-3</v>
          </cell>
          <cell r="F9">
            <v>0.19947154819965399</v>
          </cell>
        </row>
        <row r="10">
          <cell r="C10" t="str">
            <v>乙酸异丁酯</v>
          </cell>
          <cell r="D10">
            <v>330.97354125976602</v>
          </cell>
          <cell r="E10" t="str">
            <v>110-19-0</v>
          </cell>
          <cell r="F10">
            <v>0.88996723294258095</v>
          </cell>
        </row>
        <row r="11">
          <cell r="C11" t="str">
            <v>乙酸丁酯</v>
          </cell>
          <cell r="D11">
            <v>261.39019775390602</v>
          </cell>
          <cell r="E11" t="str">
            <v>123-86-4</v>
          </cell>
          <cell r="F11">
            <v>1.1859510540962199</v>
          </cell>
        </row>
        <row r="12">
          <cell r="C12" t="str">
            <v>β-蒎烯</v>
          </cell>
          <cell r="D12">
            <v>15.5352582931519</v>
          </cell>
          <cell r="E12" t="str">
            <v>127-91-3</v>
          </cell>
          <cell r="F12">
            <v>4.2534403502941097E-2</v>
          </cell>
        </row>
        <row r="13">
          <cell r="C13" t="str">
            <v>柠檬烯</v>
          </cell>
          <cell r="D13">
            <v>20.6087436676025</v>
          </cell>
          <cell r="E13" t="str">
            <v>138-86-3</v>
          </cell>
          <cell r="F13">
            <v>0.108618319034576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羰基硫</v>
          </cell>
          <cell r="D3">
            <v>12.0842962265015</v>
          </cell>
          <cell r="E3" t="str">
            <v>463-58-1</v>
          </cell>
          <cell r="F3">
            <v>8.5937671661377006</v>
          </cell>
        </row>
        <row r="4">
          <cell r="C4" t="str">
            <v>二甲胺</v>
          </cell>
          <cell r="D4">
            <v>1494.20959472656</v>
          </cell>
          <cell r="E4" t="str">
            <v>124-40-3</v>
          </cell>
          <cell r="F4">
            <v>4.6916449069976798</v>
          </cell>
        </row>
        <row r="5">
          <cell r="C5" t="str">
            <v>丙醛</v>
          </cell>
          <cell r="D5">
            <v>126.80191040039099</v>
          </cell>
          <cell r="E5" t="str">
            <v>123-38-6</v>
          </cell>
          <cell r="F5">
            <v>11.0422868728638</v>
          </cell>
        </row>
        <row r="6">
          <cell r="C6" t="str">
            <v>异丁醛</v>
          </cell>
          <cell r="D6">
            <v>15.5</v>
          </cell>
          <cell r="E6" t="str">
            <v>78-84-2</v>
          </cell>
          <cell r="F6">
            <v>3.1846337318420401</v>
          </cell>
        </row>
        <row r="7">
          <cell r="C7" t="str">
            <v>正丁醛</v>
          </cell>
          <cell r="D7">
            <v>358.67517089843801</v>
          </cell>
          <cell r="E7" t="str">
            <v>123-72-8</v>
          </cell>
          <cell r="F7">
            <v>16.018671035766602</v>
          </cell>
        </row>
        <row r="8">
          <cell r="C8" t="str">
            <v>异丁醇</v>
          </cell>
          <cell r="D8">
            <v>96.8321533203125</v>
          </cell>
          <cell r="E8" t="str">
            <v>78-83-1</v>
          </cell>
          <cell r="F8">
            <v>1.3748208284378101</v>
          </cell>
        </row>
        <row r="9">
          <cell r="C9" t="str">
            <v>异戊醛</v>
          </cell>
          <cell r="D9">
            <v>86.633834838867202</v>
          </cell>
          <cell r="E9" t="str">
            <v>590-86-3</v>
          </cell>
          <cell r="F9">
            <v>1.1744202375412001</v>
          </cell>
        </row>
        <row r="10">
          <cell r="C10" t="str">
            <v>正丁醇</v>
          </cell>
          <cell r="D10">
            <v>3111.84228515625</v>
          </cell>
          <cell r="E10" t="str">
            <v>71-36-3</v>
          </cell>
          <cell r="F10">
            <v>31.316911697387699</v>
          </cell>
        </row>
        <row r="11">
          <cell r="C11" t="str">
            <v>丙烯酸乙酯</v>
          </cell>
          <cell r="D11">
            <v>102.576698303223</v>
          </cell>
          <cell r="E11" t="str">
            <v>140-88-5</v>
          </cell>
          <cell r="F11">
            <v>0.47757482528686501</v>
          </cell>
        </row>
        <row r="12">
          <cell r="C12" t="str">
            <v>甲基丙烯酸甲酯</v>
          </cell>
          <cell r="D12">
            <v>42.294399261474602</v>
          </cell>
          <cell r="E12" t="str">
            <v>80-62-6</v>
          </cell>
          <cell r="F12">
            <v>0.43246805667877197</v>
          </cell>
        </row>
        <row r="13">
          <cell r="C13" t="str">
            <v>乙酸丁酯</v>
          </cell>
          <cell r="D13">
            <v>245.24411010742199</v>
          </cell>
          <cell r="E13" t="str">
            <v>123-86-4</v>
          </cell>
          <cell r="F13">
            <v>0.82493752241134599</v>
          </cell>
        </row>
        <row r="14">
          <cell r="C14" t="str">
            <v>α-蒎烯</v>
          </cell>
          <cell r="D14">
            <v>12.251883506774901</v>
          </cell>
          <cell r="E14" t="str">
            <v>80-56-8</v>
          </cell>
          <cell r="F14">
            <v>2.4533707648515701E-2</v>
          </cell>
        </row>
        <row r="15">
          <cell r="C15" t="str">
            <v>柠檬烯</v>
          </cell>
          <cell r="D15">
            <v>24.710870742797901</v>
          </cell>
          <cell r="E15" t="str">
            <v>138-86-3</v>
          </cell>
          <cell r="F15">
            <v>0.13272351026535001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二甲胺</v>
          </cell>
          <cell r="D3">
            <v>2738.93359375</v>
          </cell>
          <cell r="E3" t="str">
            <v>124-40-3</v>
          </cell>
          <cell r="F3">
            <v>4.2605767250061</v>
          </cell>
        </row>
        <row r="4">
          <cell r="C4" t="str">
            <v>丙醛</v>
          </cell>
          <cell r="D4">
            <v>77.627761840820298</v>
          </cell>
          <cell r="E4" t="str">
            <v>123-38-6</v>
          </cell>
          <cell r="F4">
            <v>16.549459934234601</v>
          </cell>
        </row>
        <row r="5">
          <cell r="C5" t="str">
            <v>正丁醛</v>
          </cell>
          <cell r="D5">
            <v>620.09832763671898</v>
          </cell>
          <cell r="E5" t="str">
            <v>123-72-8</v>
          </cell>
          <cell r="F5">
            <v>30.607917785644499</v>
          </cell>
        </row>
        <row r="6">
          <cell r="C6" t="str">
            <v>异丁醇</v>
          </cell>
          <cell r="D6">
            <v>255.11163330078099</v>
          </cell>
          <cell r="E6" t="str">
            <v>78-83-1</v>
          </cell>
          <cell r="F6">
            <v>2.9218707084655802</v>
          </cell>
        </row>
        <row r="7">
          <cell r="C7" t="str">
            <v>异戊醛</v>
          </cell>
          <cell r="D7">
            <v>195.97396850585901</v>
          </cell>
          <cell r="E7" t="str">
            <v>590-86-3</v>
          </cell>
          <cell r="F7">
            <v>9.4148113727569598</v>
          </cell>
        </row>
        <row r="8">
          <cell r="C8" t="str">
            <v>正丁醇</v>
          </cell>
          <cell r="D8">
            <v>2601.05395507813</v>
          </cell>
          <cell r="E8" t="str">
            <v>71-36-3</v>
          </cell>
          <cell r="F8">
            <v>28.930688858032202</v>
          </cell>
        </row>
        <row r="9">
          <cell r="C9" t="str">
            <v>丙烯酸乙酯</v>
          </cell>
          <cell r="D9">
            <v>384.34701538085898</v>
          </cell>
          <cell r="E9" t="str">
            <v>140-88-5</v>
          </cell>
          <cell r="F9">
            <v>3.0058863162994398</v>
          </cell>
        </row>
        <row r="10">
          <cell r="C10" t="str">
            <v>乙酸异丁酯</v>
          </cell>
          <cell r="D10">
            <v>210.571044921875</v>
          </cell>
          <cell r="E10" t="str">
            <v>110-19-0</v>
          </cell>
          <cell r="F10">
            <v>0.56688882410526298</v>
          </cell>
        </row>
        <row r="11">
          <cell r="C11" t="str">
            <v>乙酸丁酯</v>
          </cell>
          <cell r="D11">
            <v>446.57806396484398</v>
          </cell>
          <cell r="E11" t="str">
            <v>123-86-4</v>
          </cell>
          <cell r="F11">
            <v>1.0519497394561801</v>
          </cell>
        </row>
        <row r="12">
          <cell r="C12" t="str">
            <v>β-蒎烯</v>
          </cell>
          <cell r="D12">
            <v>38.829586029052699</v>
          </cell>
          <cell r="E12" t="str">
            <v>127-91-3</v>
          </cell>
          <cell r="F12">
            <v>0.16720825806260101</v>
          </cell>
        </row>
        <row r="13">
          <cell r="C13" t="str">
            <v>柠檬烯</v>
          </cell>
          <cell r="D13">
            <v>24.1503810882568</v>
          </cell>
          <cell r="E13" t="str">
            <v>138-86-3</v>
          </cell>
          <cell r="F13">
            <v>0.226740501821041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1628.4111328125</v>
          </cell>
          <cell r="E2" t="str">
            <v>124-40-3</v>
          </cell>
          <cell r="F2">
            <v>2.49549508094788</v>
          </cell>
        </row>
        <row r="3">
          <cell r="C3" t="str">
            <v>丙醛</v>
          </cell>
          <cell r="D3">
            <v>143.40313720703099</v>
          </cell>
          <cell r="E3" t="str">
            <v>123-38-6</v>
          </cell>
          <cell r="F3">
            <v>17.8596224784851</v>
          </cell>
        </row>
        <row r="4">
          <cell r="C4" t="str">
            <v>正丁醛</v>
          </cell>
          <cell r="D4">
            <v>544.63757324218795</v>
          </cell>
          <cell r="E4" t="str">
            <v>123-72-8</v>
          </cell>
          <cell r="F4">
            <v>26.4841823577881</v>
          </cell>
        </row>
        <row r="5">
          <cell r="C5" t="str">
            <v>异丁醇</v>
          </cell>
          <cell r="D5">
            <v>150.37535095214801</v>
          </cell>
          <cell r="E5" t="str">
            <v>78-83-1</v>
          </cell>
          <cell r="F5">
            <v>1.04674232006073</v>
          </cell>
        </row>
        <row r="6">
          <cell r="C6" t="str">
            <v>正丁醇</v>
          </cell>
          <cell r="D6">
            <v>1798.66455078125</v>
          </cell>
          <cell r="E6" t="str">
            <v>71-36-3</v>
          </cell>
          <cell r="F6">
            <v>26.6085958480835</v>
          </cell>
        </row>
        <row r="7">
          <cell r="C7" t="str">
            <v>异戊醛</v>
          </cell>
          <cell r="D7">
            <v>604.83459472656295</v>
          </cell>
          <cell r="E7" t="str">
            <v>590-86-3</v>
          </cell>
          <cell r="F7">
            <v>8.92742919921875</v>
          </cell>
        </row>
        <row r="8">
          <cell r="C8" t="str">
            <v>丙烯酸乙酯</v>
          </cell>
          <cell r="D8">
            <v>86.197525024414105</v>
          </cell>
          <cell r="E8" t="str">
            <v>140-88-5</v>
          </cell>
          <cell r="F8">
            <v>0.79194426536560103</v>
          </cell>
        </row>
        <row r="9">
          <cell r="C9" t="str">
            <v>正戊醛</v>
          </cell>
          <cell r="D9">
            <v>117.766632080078</v>
          </cell>
          <cell r="E9" t="str">
            <v>110-62-3</v>
          </cell>
          <cell r="F9">
            <v>0.34447148442268399</v>
          </cell>
        </row>
        <row r="10">
          <cell r="C10" t="str">
            <v>乙硫醚</v>
          </cell>
          <cell r="D10">
            <v>18.069343566894499</v>
          </cell>
          <cell r="E10" t="str">
            <v>352-93-2</v>
          </cell>
          <cell r="F10">
            <v>0.17932008206844299</v>
          </cell>
        </row>
        <row r="11">
          <cell r="C11" t="str">
            <v>乙酸丁酯</v>
          </cell>
          <cell r="D11">
            <v>297.20248413085898</v>
          </cell>
          <cell r="E11" t="str">
            <v>123-86-4</v>
          </cell>
          <cell r="F11">
            <v>0.68969291448593095</v>
          </cell>
        </row>
        <row r="12">
          <cell r="C12" t="str">
            <v>α-蒎烯</v>
          </cell>
          <cell r="D12">
            <v>18.041460037231399</v>
          </cell>
          <cell r="E12" t="str">
            <v>80-56-8</v>
          </cell>
          <cell r="F12">
            <v>3.93356047570705E-2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1924.96606445312</v>
          </cell>
          <cell r="E2" t="str">
            <v>124-40-3</v>
          </cell>
          <cell r="F2">
            <v>3.0819885730743399</v>
          </cell>
        </row>
        <row r="3">
          <cell r="C3" t="str">
            <v>丙醛</v>
          </cell>
          <cell r="D3">
            <v>155.96408081054699</v>
          </cell>
          <cell r="E3" t="str">
            <v>123-38-6</v>
          </cell>
          <cell r="F3">
            <v>15.449944496154799</v>
          </cell>
        </row>
        <row r="4">
          <cell r="C4" t="str">
            <v>异戊二烯</v>
          </cell>
          <cell r="D4">
            <v>21.494600296020501</v>
          </cell>
          <cell r="E4" t="str">
            <v>78-79-5</v>
          </cell>
          <cell r="F4">
            <v>0.86848634481430098</v>
          </cell>
        </row>
        <row r="5">
          <cell r="C5" t="str">
            <v>正丁醛</v>
          </cell>
          <cell r="D5">
            <v>327.93713378906301</v>
          </cell>
          <cell r="E5" t="str">
            <v>123-72-8</v>
          </cell>
          <cell r="F5">
            <v>16.660377502441399</v>
          </cell>
        </row>
        <row r="6">
          <cell r="C6" t="str">
            <v>异戊醛</v>
          </cell>
          <cell r="D6">
            <v>64.682540893554702</v>
          </cell>
          <cell r="E6" t="str">
            <v>590-86-3</v>
          </cell>
          <cell r="F6">
            <v>0.99745237827301003</v>
          </cell>
        </row>
        <row r="7">
          <cell r="C7" t="str">
            <v>正丁醇</v>
          </cell>
          <cell r="D7">
            <v>2219.89794921875</v>
          </cell>
          <cell r="E7" t="str">
            <v>71-36-3</v>
          </cell>
          <cell r="F7">
            <v>35.790965080261202</v>
          </cell>
        </row>
        <row r="8">
          <cell r="C8" t="str">
            <v>正戊醛</v>
          </cell>
          <cell r="D8">
            <v>154.92987060546901</v>
          </cell>
          <cell r="E8" t="str">
            <v>110-62-3</v>
          </cell>
          <cell r="F8">
            <v>0.473458021879196</v>
          </cell>
        </row>
        <row r="9">
          <cell r="C9" t="str">
            <v>丙烯酸乙酯</v>
          </cell>
          <cell r="D9">
            <v>161.171142578125</v>
          </cell>
          <cell r="E9" t="str">
            <v>140-88-5</v>
          </cell>
          <cell r="F9">
            <v>1.5022226572036701</v>
          </cell>
        </row>
        <row r="10">
          <cell r="C10" t="str">
            <v>甲基丙烯酸甲酯</v>
          </cell>
          <cell r="D10">
            <v>59.557388305664098</v>
          </cell>
          <cell r="E10" t="str">
            <v>80-62-6</v>
          </cell>
          <cell r="F10">
            <v>0.6927490234375</v>
          </cell>
        </row>
        <row r="11">
          <cell r="C11" t="str">
            <v>乙酸异丁酯</v>
          </cell>
          <cell r="D11">
            <v>303.22247314453102</v>
          </cell>
          <cell r="E11" t="str">
            <v>110-19-0</v>
          </cell>
          <cell r="F11">
            <v>0.57965487241744995</v>
          </cell>
        </row>
        <row r="12">
          <cell r="C12" t="str">
            <v>乙酸丁酯</v>
          </cell>
          <cell r="D12">
            <v>401.02459716796898</v>
          </cell>
          <cell r="E12" t="str">
            <v>123-86-4</v>
          </cell>
          <cell r="F12">
            <v>0.972276151180267</v>
          </cell>
        </row>
        <row r="13">
          <cell r="C13" t="str">
            <v>α-蒎烯</v>
          </cell>
          <cell r="D13">
            <v>26.613681793212901</v>
          </cell>
          <cell r="E13" t="str">
            <v>80-56-8</v>
          </cell>
          <cell r="F13">
            <v>0.137948237359524</v>
          </cell>
        </row>
        <row r="14">
          <cell r="C14" t="str">
            <v>柠檬烯</v>
          </cell>
          <cell r="D14">
            <v>19.672409057617202</v>
          </cell>
          <cell r="E14" t="str">
            <v>138-86-3</v>
          </cell>
          <cell r="F14">
            <v>0.12019501626491499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2009.57788085937</v>
          </cell>
          <cell r="E2" t="str">
            <v>124-40-3</v>
          </cell>
          <cell r="F2">
            <v>5.6773884296417201</v>
          </cell>
        </row>
        <row r="3">
          <cell r="C3" t="str">
            <v>丙醛</v>
          </cell>
          <cell r="D3">
            <v>487.01300048828102</v>
          </cell>
          <cell r="E3" t="str">
            <v>123-38-6</v>
          </cell>
          <cell r="F3">
            <v>41.542026519775398</v>
          </cell>
        </row>
        <row r="4">
          <cell r="C4" t="str">
            <v>异丁醛</v>
          </cell>
          <cell r="D4">
            <v>28.239448547363299</v>
          </cell>
          <cell r="E4" t="str">
            <v>78-84-2</v>
          </cell>
          <cell r="F4">
            <v>3.0927059650421098</v>
          </cell>
        </row>
        <row r="5">
          <cell r="C5" t="str">
            <v>正丁醛</v>
          </cell>
          <cell r="D5">
            <v>1746.58666992187</v>
          </cell>
          <cell r="E5" t="str">
            <v>123-72-8</v>
          </cell>
          <cell r="F5">
            <v>76.406303405761705</v>
          </cell>
        </row>
        <row r="6">
          <cell r="C6" t="str">
            <v>异丁醇</v>
          </cell>
          <cell r="D6">
            <v>268.31179809570301</v>
          </cell>
          <cell r="E6" t="str">
            <v>78-83-1</v>
          </cell>
          <cell r="F6">
            <v>4.2273045778274501</v>
          </cell>
        </row>
        <row r="7">
          <cell r="C7" t="str">
            <v>异戊醛</v>
          </cell>
          <cell r="D7">
            <v>677.06378173828102</v>
          </cell>
          <cell r="E7" t="str">
            <v>590-86-3</v>
          </cell>
          <cell r="F7">
            <v>13.836833953857401</v>
          </cell>
        </row>
        <row r="8">
          <cell r="C8" t="str">
            <v>正丁醇</v>
          </cell>
          <cell r="D8">
            <v>3569.9384765625</v>
          </cell>
          <cell r="E8" t="str">
            <v>71-36-3</v>
          </cell>
          <cell r="F8">
            <v>35.191352844238303</v>
          </cell>
        </row>
        <row r="9">
          <cell r="C9" t="str">
            <v>丙烯酸乙酯</v>
          </cell>
          <cell r="D9">
            <v>47.179985046386697</v>
          </cell>
          <cell r="E9" t="str">
            <v>140-88-5</v>
          </cell>
          <cell r="F9">
            <v>0.309245586395264</v>
          </cell>
        </row>
        <row r="10">
          <cell r="C10" t="str">
            <v>正戊醛</v>
          </cell>
          <cell r="D10">
            <v>171.03266906738301</v>
          </cell>
          <cell r="E10" t="str">
            <v>110-62-3</v>
          </cell>
          <cell r="F10">
            <v>0.45005974173545799</v>
          </cell>
        </row>
        <row r="11">
          <cell r="C11" t="str">
            <v>二甲二硫</v>
          </cell>
          <cell r="D11">
            <v>30.535779953002901</v>
          </cell>
          <cell r="E11" t="str">
            <v>624-92-0</v>
          </cell>
          <cell r="F11">
            <v>0.21791587769985199</v>
          </cell>
        </row>
        <row r="12">
          <cell r="C12" t="str">
            <v>乙酸异丁酯</v>
          </cell>
          <cell r="D12">
            <v>142.39999389648401</v>
          </cell>
          <cell r="E12" t="str">
            <v>110-19-0</v>
          </cell>
          <cell r="F12">
            <v>0.962308809161186</v>
          </cell>
        </row>
        <row r="13">
          <cell r="C13" t="str">
            <v>乙酸丁酯</v>
          </cell>
          <cell r="D13">
            <v>740.99621582031295</v>
          </cell>
          <cell r="E13" t="str">
            <v>123-86-4</v>
          </cell>
          <cell r="F13">
            <v>1.5469610691070601</v>
          </cell>
        </row>
        <row r="14">
          <cell r="C14" t="str">
            <v>β-蒎烯</v>
          </cell>
          <cell r="D14">
            <v>10.869565963745099</v>
          </cell>
          <cell r="E14" t="str">
            <v>127-91-3</v>
          </cell>
          <cell r="F14">
            <v>7.8627189621329294E-2</v>
          </cell>
        </row>
        <row r="15">
          <cell r="C15" t="str">
            <v>柠檬烯</v>
          </cell>
          <cell r="D15">
            <v>44.023769378662102</v>
          </cell>
          <cell r="E15" t="str">
            <v>138-86-3</v>
          </cell>
          <cell r="F15">
            <v>0.33081954717636097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24.862369537353501</v>
          </cell>
          <cell r="E2" t="str">
            <v>463-58-1</v>
          </cell>
          <cell r="F2">
            <v>18.9133701324463</v>
          </cell>
        </row>
        <row r="3">
          <cell r="C3" t="str">
            <v>二甲胺</v>
          </cell>
          <cell r="D3">
            <v>3004.99438476563</v>
          </cell>
          <cell r="E3" t="str">
            <v>124-40-3</v>
          </cell>
          <cell r="F3">
            <v>4.5242509841918901</v>
          </cell>
        </row>
        <row r="4">
          <cell r="C4" t="str">
            <v>丙醛</v>
          </cell>
          <cell r="D4">
            <v>606.78094482421898</v>
          </cell>
          <cell r="E4" t="str">
            <v>123-38-6</v>
          </cell>
          <cell r="F4">
            <v>56.5235404968262</v>
          </cell>
        </row>
        <row r="5">
          <cell r="C5" t="str">
            <v>异丁醛</v>
          </cell>
          <cell r="D5">
            <v>102.905395507812</v>
          </cell>
          <cell r="E5" t="str">
            <v>78-84-2</v>
          </cell>
          <cell r="F5">
            <v>12.307528495788601</v>
          </cell>
        </row>
        <row r="6">
          <cell r="C6" t="str">
            <v>正丁醛</v>
          </cell>
          <cell r="D6">
            <v>2585.11401367188</v>
          </cell>
          <cell r="E6" t="str">
            <v>123-72-8</v>
          </cell>
          <cell r="F6">
            <v>123.50058746337901</v>
          </cell>
        </row>
        <row r="7">
          <cell r="C7" t="str">
            <v>异丁醇</v>
          </cell>
          <cell r="D7">
            <v>457.16271972656301</v>
          </cell>
          <cell r="E7" t="str">
            <v>78-83-1</v>
          </cell>
          <cell r="F7">
            <v>4.9687594175338701</v>
          </cell>
        </row>
        <row r="8">
          <cell r="C8" t="str">
            <v>异戊醛</v>
          </cell>
          <cell r="D8">
            <v>336.51022338867199</v>
          </cell>
          <cell r="E8" t="str">
            <v>590-86-3</v>
          </cell>
          <cell r="F8">
            <v>8.9990720748901403</v>
          </cell>
        </row>
        <row r="9">
          <cell r="C9" t="str">
            <v>正丁醇</v>
          </cell>
          <cell r="D9">
            <v>3978.4140625</v>
          </cell>
          <cell r="E9" t="str">
            <v>71-36-3</v>
          </cell>
          <cell r="F9">
            <v>42.828758239746101</v>
          </cell>
        </row>
        <row r="10">
          <cell r="C10" t="str">
            <v>丙烯酸乙酯</v>
          </cell>
          <cell r="D10">
            <v>90.247467041015597</v>
          </cell>
          <cell r="E10" t="str">
            <v>140-88-5</v>
          </cell>
          <cell r="F10">
            <v>0.83566820621490501</v>
          </cell>
        </row>
        <row r="11">
          <cell r="C11" t="str">
            <v>正戊醛</v>
          </cell>
          <cell r="D11">
            <v>142.00613403320301</v>
          </cell>
          <cell r="E11" t="str">
            <v>110-62-3</v>
          </cell>
          <cell r="F11">
            <v>0.40808299183845498</v>
          </cell>
        </row>
        <row r="12">
          <cell r="C12" t="str">
            <v>甲基丙烯酸甲酯</v>
          </cell>
          <cell r="D12">
            <v>47.773242950439503</v>
          </cell>
          <cell r="E12" t="str">
            <v>80-62-6</v>
          </cell>
          <cell r="F12">
            <v>0.52254062891006503</v>
          </cell>
        </row>
        <row r="13">
          <cell r="C13" t="str">
            <v>乙酸异丁酯</v>
          </cell>
          <cell r="D13">
            <v>625.11468505859398</v>
          </cell>
          <cell r="E13" t="str">
            <v>110-19-0</v>
          </cell>
          <cell r="F13">
            <v>1.1237323284149201</v>
          </cell>
        </row>
        <row r="14">
          <cell r="C14" t="str">
            <v>乙酸丁酯</v>
          </cell>
          <cell r="D14">
            <v>678.88781738281295</v>
          </cell>
          <cell r="E14" t="str">
            <v>123-86-4</v>
          </cell>
          <cell r="F14">
            <v>1.5477887392044101</v>
          </cell>
        </row>
        <row r="15">
          <cell r="C15" t="str">
            <v>α-蒎烯</v>
          </cell>
          <cell r="D15">
            <v>14.602931022644</v>
          </cell>
          <cell r="E15" t="str">
            <v>80-56-8</v>
          </cell>
          <cell r="F15">
            <v>3.1279839575290701E-2</v>
          </cell>
        </row>
        <row r="16">
          <cell r="C16" t="str">
            <v>柠檬烯</v>
          </cell>
          <cell r="D16">
            <v>34.650535583496101</v>
          </cell>
          <cell r="E16" t="str">
            <v>138-86-3</v>
          </cell>
          <cell r="F16">
            <v>0.199082896113396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1969.21850585937</v>
          </cell>
          <cell r="E2" t="str">
            <v>124-40-3</v>
          </cell>
          <cell r="F2">
            <v>3.04661917686462</v>
          </cell>
        </row>
        <row r="3">
          <cell r="C3" t="str">
            <v>丙醛</v>
          </cell>
          <cell r="D3">
            <v>410.01129150390602</v>
          </cell>
          <cell r="E3" t="str">
            <v>123-38-6</v>
          </cell>
          <cell r="F3">
            <v>39.247726440429702</v>
          </cell>
        </row>
        <row r="4">
          <cell r="C4" t="str">
            <v>正丁醛</v>
          </cell>
          <cell r="D4">
            <v>1207.68212890625</v>
          </cell>
          <cell r="E4" t="str">
            <v>123-72-8</v>
          </cell>
          <cell r="F4">
            <v>59.287509918212898</v>
          </cell>
        </row>
        <row r="5">
          <cell r="C5" t="str">
            <v>异丁醇</v>
          </cell>
          <cell r="D5">
            <v>244.15277099609401</v>
          </cell>
          <cell r="E5" t="str">
            <v>78-83-1</v>
          </cell>
          <cell r="F5">
            <v>3.0249513387680098</v>
          </cell>
        </row>
        <row r="6">
          <cell r="C6" t="str">
            <v>异戊醛</v>
          </cell>
          <cell r="D6">
            <v>306.80285644531301</v>
          </cell>
          <cell r="E6" t="str">
            <v>590-86-3</v>
          </cell>
          <cell r="F6">
            <v>8.6763896942138707</v>
          </cell>
        </row>
        <row r="7">
          <cell r="C7" t="str">
            <v>正丁醇</v>
          </cell>
          <cell r="D7">
            <v>3216.95166015625</v>
          </cell>
          <cell r="E7" t="str">
            <v>71-36-3</v>
          </cell>
          <cell r="F7">
            <v>35.586994171142599</v>
          </cell>
        </row>
        <row r="8">
          <cell r="C8" t="str">
            <v>丙烯酸乙酯</v>
          </cell>
          <cell r="D8">
            <v>38.557319641113303</v>
          </cell>
          <cell r="E8" t="str">
            <v>140-88-5</v>
          </cell>
          <cell r="F8">
            <v>0.300648674368858</v>
          </cell>
        </row>
        <row r="9">
          <cell r="C9" t="str">
            <v>乙酸丁酯</v>
          </cell>
          <cell r="D9">
            <v>420.3203125</v>
          </cell>
          <cell r="E9" t="str">
            <v>123-86-4</v>
          </cell>
          <cell r="F9">
            <v>0.98472577333450295</v>
          </cell>
        </row>
        <row r="10">
          <cell r="C10" t="str">
            <v>柠檬烯</v>
          </cell>
          <cell r="D10">
            <v>69.662536621093693</v>
          </cell>
          <cell r="E10" t="str">
            <v>138-86-3</v>
          </cell>
          <cell r="F10">
            <v>0.41128656268119801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1427.21398925781</v>
          </cell>
          <cell r="E2" t="str">
            <v>124-40-3</v>
          </cell>
          <cell r="F2">
            <v>2.4079000949859601</v>
          </cell>
        </row>
        <row r="3">
          <cell r="C3" t="str">
            <v>丙醛</v>
          </cell>
          <cell r="D3">
            <v>122.63111114502</v>
          </cell>
          <cell r="E3" t="str">
            <v>123-38-6</v>
          </cell>
          <cell r="F3">
            <v>12.8010158538818</v>
          </cell>
        </row>
        <row r="4">
          <cell r="C4" t="str">
            <v>异丁醛</v>
          </cell>
          <cell r="D4">
            <v>44.554569244384801</v>
          </cell>
          <cell r="E4" t="str">
            <v>78-84-2</v>
          </cell>
          <cell r="F4">
            <v>5.9713330268859899</v>
          </cell>
        </row>
        <row r="5">
          <cell r="C5" t="str">
            <v>正丁醛</v>
          </cell>
          <cell r="D5">
            <v>1851.83251953125</v>
          </cell>
          <cell r="E5" t="str">
            <v>123-72-8</v>
          </cell>
          <cell r="F5">
            <v>99.137367248535199</v>
          </cell>
        </row>
        <row r="6">
          <cell r="C6" t="str">
            <v>异丁醇</v>
          </cell>
          <cell r="D6">
            <v>2224.25805664063</v>
          </cell>
          <cell r="E6" t="str">
            <v>78-83-1</v>
          </cell>
          <cell r="F6">
            <v>17.045314788818398</v>
          </cell>
        </row>
        <row r="7">
          <cell r="C7" t="str">
            <v>正丁醇</v>
          </cell>
          <cell r="D7">
            <v>3927.22314453125</v>
          </cell>
          <cell r="E7" t="str">
            <v>71-36-3</v>
          </cell>
          <cell r="F7">
            <v>47.375896453857401</v>
          </cell>
        </row>
        <row r="8">
          <cell r="C8" t="str">
            <v>异戊醛</v>
          </cell>
          <cell r="D8">
            <v>505.83285522460898</v>
          </cell>
          <cell r="E8" t="str">
            <v>590-86-3</v>
          </cell>
          <cell r="F8">
            <v>8.2196540832519496</v>
          </cell>
        </row>
        <row r="9">
          <cell r="C9" t="str">
            <v>丙烯酸乙酯</v>
          </cell>
          <cell r="D9">
            <v>77.964538574218693</v>
          </cell>
          <cell r="E9" t="str">
            <v>140-88-5</v>
          </cell>
          <cell r="F9">
            <v>0.52403423190116905</v>
          </cell>
        </row>
        <row r="10">
          <cell r="C10" t="str">
            <v>乙酸异丁酯</v>
          </cell>
          <cell r="D10">
            <v>132.09230041503901</v>
          </cell>
          <cell r="E10" t="str">
            <v>110-19-0</v>
          </cell>
          <cell r="F10">
            <v>0.26608905196189903</v>
          </cell>
        </row>
        <row r="11">
          <cell r="C11" t="str">
            <v>乙酸丁酯</v>
          </cell>
          <cell r="D11">
            <v>467.60574340820301</v>
          </cell>
          <cell r="E11" t="str">
            <v>123-86-4</v>
          </cell>
          <cell r="F11">
            <v>1.19464778900146</v>
          </cell>
        </row>
        <row r="12">
          <cell r="C12" t="str">
            <v>α-蒎烯</v>
          </cell>
          <cell r="D12">
            <v>777.509765625</v>
          </cell>
          <cell r="E12" t="str">
            <v>80-56-8</v>
          </cell>
          <cell r="F12">
            <v>1.8662794828414899</v>
          </cell>
        </row>
        <row r="13">
          <cell r="C13" t="str">
            <v>柠檬烯</v>
          </cell>
          <cell r="D13">
            <v>52.187179565429702</v>
          </cell>
          <cell r="E13" t="str">
            <v>138-86-3</v>
          </cell>
          <cell r="F13">
            <v>0.33599603176116899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2467.93017578125</v>
          </cell>
          <cell r="E2" t="str">
            <v>124-40-3</v>
          </cell>
          <cell r="F2">
            <v>1088.70751953125</v>
          </cell>
        </row>
        <row r="3">
          <cell r="C3" t="str">
            <v>丙醛</v>
          </cell>
          <cell r="D3">
            <v>379.33004760742199</v>
          </cell>
          <cell r="E3" t="str">
            <v>123-38-6</v>
          </cell>
          <cell r="F3">
            <v>10353.5673828125</v>
          </cell>
        </row>
        <row r="4">
          <cell r="C4" t="str">
            <v>异丁醛</v>
          </cell>
          <cell r="D4">
            <v>28.542549133300799</v>
          </cell>
          <cell r="E4" t="str">
            <v>78-84-2</v>
          </cell>
          <cell r="F4">
            <v>1000.23217773438</v>
          </cell>
        </row>
        <row r="5">
          <cell r="C5" t="str">
            <v>正丁醛</v>
          </cell>
          <cell r="D5">
            <v>498.05432128906301</v>
          </cell>
          <cell r="E5" t="str">
            <v>123-72-8</v>
          </cell>
          <cell r="F5">
            <v>6971.74365234375</v>
          </cell>
        </row>
        <row r="6">
          <cell r="C6" t="str">
            <v>异丁醇</v>
          </cell>
          <cell r="D6">
            <v>1638.79614257812</v>
          </cell>
          <cell r="E6" t="str">
            <v>78-83-1</v>
          </cell>
          <cell r="F6">
            <v>4574.1995849609402</v>
          </cell>
        </row>
        <row r="7">
          <cell r="C7" t="str">
            <v>异戊醛</v>
          </cell>
          <cell r="D7">
            <v>328.25567626953102</v>
          </cell>
          <cell r="E7" t="str">
            <v>590-86-3</v>
          </cell>
          <cell r="F7">
            <v>4197.40087890625</v>
          </cell>
        </row>
        <row r="8">
          <cell r="C8" t="str">
            <v>正丁醇</v>
          </cell>
          <cell r="D8">
            <v>3024.24877929688</v>
          </cell>
          <cell r="E8" t="str">
            <v>71-36-3</v>
          </cell>
          <cell r="F8">
            <v>9539.341796875</v>
          </cell>
        </row>
        <row r="9">
          <cell r="C9" t="str">
            <v>丙烯酸乙酯</v>
          </cell>
          <cell r="D9">
            <v>44.024703979492202</v>
          </cell>
          <cell r="E9" t="str">
            <v>140-88-5</v>
          </cell>
          <cell r="F9">
            <v>133.79478836059599</v>
          </cell>
        </row>
        <row r="10">
          <cell r="C10" t="str">
            <v>甲基丙烯酸甲酯</v>
          </cell>
          <cell r="D10">
            <v>50.628589630127003</v>
          </cell>
          <cell r="E10" t="str">
            <v>80-62-6</v>
          </cell>
          <cell r="F10">
            <v>162.25816345214801</v>
          </cell>
        </row>
        <row r="11">
          <cell r="C11" t="str">
            <v>乙酸丁酯</v>
          </cell>
          <cell r="D11">
            <v>574.55755615234398</v>
          </cell>
          <cell r="E11" t="str">
            <v>123-86-4</v>
          </cell>
          <cell r="F11">
            <v>383.81558227539102</v>
          </cell>
        </row>
        <row r="12">
          <cell r="C12" t="str">
            <v>柠檬烯</v>
          </cell>
          <cell r="D12">
            <v>29.0733451843262</v>
          </cell>
          <cell r="E12" t="str">
            <v>138-86-3</v>
          </cell>
          <cell r="F12">
            <v>123.685535430908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1175.19360351562</v>
          </cell>
          <cell r="E2" t="str">
            <v>124-40-3</v>
          </cell>
          <cell r="F2">
            <v>2.9183374047279398</v>
          </cell>
        </row>
        <row r="3">
          <cell r="C3" t="str">
            <v>丙醛</v>
          </cell>
          <cell r="D3">
            <v>213.90948486328099</v>
          </cell>
          <cell r="E3" t="str">
            <v>123-38-6</v>
          </cell>
          <cell r="F3">
            <v>21.6096305847168</v>
          </cell>
        </row>
        <row r="4">
          <cell r="C4" t="str">
            <v>异戊二烯</v>
          </cell>
          <cell r="D4">
            <v>32.066337585449197</v>
          </cell>
          <cell r="E4" t="str">
            <v>78-79-5</v>
          </cell>
          <cell r="F4">
            <v>1.32128942012787</v>
          </cell>
        </row>
        <row r="5">
          <cell r="C5" t="str">
            <v>异丁醛</v>
          </cell>
          <cell r="D5">
            <v>40.630722045898402</v>
          </cell>
          <cell r="E5" t="str">
            <v>78-84-2</v>
          </cell>
          <cell r="F5">
            <v>5.26995754241943</v>
          </cell>
        </row>
        <row r="6">
          <cell r="C6" t="str">
            <v>正丁醛</v>
          </cell>
          <cell r="D6">
            <v>2225.7373046875</v>
          </cell>
          <cell r="E6" t="str">
            <v>123-72-8</v>
          </cell>
          <cell r="F6">
            <v>115.31428527832</v>
          </cell>
        </row>
        <row r="7">
          <cell r="C7" t="str">
            <v>异丁醇</v>
          </cell>
          <cell r="D7">
            <v>158.60551452636699</v>
          </cell>
          <cell r="E7" t="str">
            <v>78-83-1</v>
          </cell>
          <cell r="F7">
            <v>1.1762825250625599</v>
          </cell>
        </row>
        <row r="8">
          <cell r="C8" t="str">
            <v>异戊醛</v>
          </cell>
          <cell r="D8">
            <v>58.032325744628899</v>
          </cell>
          <cell r="E8" t="str">
            <v>590-86-3</v>
          </cell>
          <cell r="F8">
            <v>2.7164266705513</v>
          </cell>
        </row>
        <row r="9">
          <cell r="C9" t="str">
            <v>正丁醇</v>
          </cell>
          <cell r="D9">
            <v>5711.15478515625</v>
          </cell>
          <cell r="E9" t="str">
            <v>71-36-3</v>
          </cell>
          <cell r="F9">
            <v>66.675971984863295</v>
          </cell>
        </row>
        <row r="10">
          <cell r="C10" t="str">
            <v>正戊醛</v>
          </cell>
          <cell r="D10">
            <v>70.658866882324205</v>
          </cell>
          <cell r="E10" t="str">
            <v>110-62-3</v>
          </cell>
          <cell r="F10">
            <v>0.22020539641380299</v>
          </cell>
        </row>
        <row r="11">
          <cell r="C11" t="str">
            <v>丙烯酸乙酯</v>
          </cell>
          <cell r="D11">
            <v>67.986137390136705</v>
          </cell>
          <cell r="E11" t="str">
            <v>140-88-5</v>
          </cell>
          <cell r="F11">
            <v>0.40698900818824801</v>
          </cell>
        </row>
        <row r="12">
          <cell r="C12" t="str">
            <v>甲基丙烯酸甲酯</v>
          </cell>
          <cell r="D12">
            <v>47.6314506530762</v>
          </cell>
          <cell r="E12" t="str">
            <v>80-62-6</v>
          </cell>
          <cell r="F12">
            <v>0.56500077247619596</v>
          </cell>
        </row>
        <row r="13">
          <cell r="C13" t="str">
            <v>乙酸异丁酯</v>
          </cell>
          <cell r="D13">
            <v>113.685997009277</v>
          </cell>
          <cell r="E13" t="str">
            <v>110-19-0</v>
          </cell>
          <cell r="F13">
            <v>0.22163076698780099</v>
          </cell>
        </row>
        <row r="14">
          <cell r="C14" t="str">
            <v>乙酸丁酯</v>
          </cell>
          <cell r="D14">
            <v>667.92840576171898</v>
          </cell>
          <cell r="E14" t="str">
            <v>123-86-4</v>
          </cell>
          <cell r="F14">
            <v>1.6514426469802901</v>
          </cell>
        </row>
        <row r="15">
          <cell r="C15" t="str">
            <v>α-蒎烯</v>
          </cell>
          <cell r="D15">
            <v>1089.29223632812</v>
          </cell>
          <cell r="E15" t="str">
            <v>80-56-8</v>
          </cell>
          <cell r="F15">
            <v>2.5303976535797101</v>
          </cell>
        </row>
        <row r="16">
          <cell r="C16" t="str">
            <v>β-蒎烯</v>
          </cell>
          <cell r="D16">
            <v>306.86071777343801</v>
          </cell>
          <cell r="E16" t="str">
            <v>127-91-3</v>
          </cell>
          <cell r="F16">
            <v>0.99324297904968295</v>
          </cell>
        </row>
        <row r="17">
          <cell r="C17" t="str">
            <v>柠檬烯</v>
          </cell>
          <cell r="D17">
            <v>992.832763671875</v>
          </cell>
          <cell r="E17" t="str">
            <v>138-86-3</v>
          </cell>
          <cell r="F17">
            <v>6.1861433982849103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434.39968872070301</v>
          </cell>
          <cell r="E2" t="str">
            <v>124-40-3</v>
          </cell>
          <cell r="F2">
            <v>0.79193019866943404</v>
          </cell>
        </row>
        <row r="3">
          <cell r="C3" t="str">
            <v>丙醛</v>
          </cell>
          <cell r="D3">
            <v>248.59078979492199</v>
          </cell>
          <cell r="E3" t="str">
            <v>123-38-6</v>
          </cell>
          <cell r="F3">
            <v>28.0399265289307</v>
          </cell>
        </row>
        <row r="4">
          <cell r="C4" t="str">
            <v>异丁醛</v>
          </cell>
          <cell r="D4">
            <v>10.365425109863301</v>
          </cell>
          <cell r="E4" t="str">
            <v>78-84-2</v>
          </cell>
          <cell r="F4">
            <v>1.50111591815948</v>
          </cell>
        </row>
        <row r="5">
          <cell r="C5" t="str">
            <v>正丁醛</v>
          </cell>
          <cell r="D5">
            <v>128.99331665039099</v>
          </cell>
          <cell r="E5" t="str">
            <v>123-72-8</v>
          </cell>
          <cell r="F5">
            <v>7.4619259834289604</v>
          </cell>
        </row>
        <row r="6">
          <cell r="C6" t="str">
            <v>异丁醇</v>
          </cell>
          <cell r="D6">
            <v>83.157638549804702</v>
          </cell>
          <cell r="E6" t="str">
            <v>78-83-1</v>
          </cell>
          <cell r="F6">
            <v>0.68860477209091198</v>
          </cell>
        </row>
        <row r="7">
          <cell r="C7" t="str">
            <v>正丁醇</v>
          </cell>
          <cell r="D7">
            <v>4253.77734375</v>
          </cell>
          <cell r="E7" t="str">
            <v>71-36-3</v>
          </cell>
          <cell r="F7">
            <v>55.449123382568402</v>
          </cell>
        </row>
        <row r="8">
          <cell r="C8" t="str">
            <v>甲基丙烯酸甲酯</v>
          </cell>
          <cell r="D8">
            <v>30.420467376708999</v>
          </cell>
          <cell r="E8" t="str">
            <v>80-62-6</v>
          </cell>
          <cell r="F8">
            <v>0.402898490428925</v>
          </cell>
        </row>
        <row r="9">
          <cell r="C9" t="str">
            <v>乙酸丁酯</v>
          </cell>
          <cell r="D9">
            <v>600.73150634765602</v>
          </cell>
          <cell r="E9" t="str">
            <v>123-86-4</v>
          </cell>
          <cell r="F9">
            <v>1.65839695930481</v>
          </cell>
        </row>
        <row r="10">
          <cell r="C10" t="str">
            <v>α-蒎烯</v>
          </cell>
          <cell r="D10">
            <v>16.832769393920898</v>
          </cell>
          <cell r="E10" t="str">
            <v>80-56-8</v>
          </cell>
          <cell r="F10">
            <v>4.3659068644046797E-2</v>
          </cell>
        </row>
        <row r="11">
          <cell r="C11" t="str">
            <v>β-蒎烯</v>
          </cell>
          <cell r="D11">
            <v>10.7467203140259</v>
          </cell>
          <cell r="E11" t="str">
            <v>127-91-3</v>
          </cell>
          <cell r="F11">
            <v>3.8838695734739297E-2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108.79126739502</v>
          </cell>
          <cell r="E2" t="str">
            <v>124-40-3</v>
          </cell>
          <cell r="F2">
            <v>0.20362395048141499</v>
          </cell>
        </row>
        <row r="3">
          <cell r="C3" t="str">
            <v>丙醛</v>
          </cell>
          <cell r="D3">
            <v>149.69470214843699</v>
          </cell>
          <cell r="E3" t="str">
            <v>123-38-6</v>
          </cell>
          <cell r="F3">
            <v>17.335472106933601</v>
          </cell>
        </row>
        <row r="4">
          <cell r="C4" t="str">
            <v>异丁醛</v>
          </cell>
          <cell r="D4">
            <v>39.3316841125488</v>
          </cell>
          <cell r="E4" t="str">
            <v>78-84-2</v>
          </cell>
          <cell r="F4">
            <v>5.8479957580566397</v>
          </cell>
        </row>
        <row r="5">
          <cell r="C5" t="str">
            <v>正丁醛</v>
          </cell>
          <cell r="D5">
            <v>2682.75927734375</v>
          </cell>
          <cell r="E5" t="str">
            <v>123-72-8</v>
          </cell>
          <cell r="F5">
            <v>159.33193969726599</v>
          </cell>
        </row>
        <row r="6">
          <cell r="C6" t="str">
            <v>异丁醇</v>
          </cell>
          <cell r="D6">
            <v>2028.58264160156</v>
          </cell>
          <cell r="E6" t="str">
            <v>78-83-1</v>
          </cell>
          <cell r="F6">
            <v>17.246381759643601</v>
          </cell>
        </row>
        <row r="7">
          <cell r="C7" t="str">
            <v>正丁醇</v>
          </cell>
          <cell r="D7">
            <v>49.802619934082003</v>
          </cell>
          <cell r="E7" t="str">
            <v>71-36-3</v>
          </cell>
          <cell r="F7">
            <v>1.6568312644958501</v>
          </cell>
        </row>
        <row r="8">
          <cell r="C8" t="str">
            <v>正戊醛</v>
          </cell>
          <cell r="D8">
            <v>47.440464019775398</v>
          </cell>
          <cell r="E8" t="str">
            <v>110-62-3</v>
          </cell>
          <cell r="F8">
            <v>0.169481426477432</v>
          </cell>
        </row>
        <row r="9">
          <cell r="C9" t="str">
            <v>丙烯酸乙酯</v>
          </cell>
          <cell r="D9">
            <v>77.390113830566406</v>
          </cell>
          <cell r="E9" t="str">
            <v>140-88-5</v>
          </cell>
          <cell r="F9">
            <v>0.73189744353294395</v>
          </cell>
        </row>
        <row r="10">
          <cell r="C10" t="str">
            <v>甲基丙烯酸甲酯</v>
          </cell>
          <cell r="D10">
            <v>34.744232177734403</v>
          </cell>
          <cell r="E10" t="str">
            <v>80-62-6</v>
          </cell>
          <cell r="F10">
            <v>0.47244352102279702</v>
          </cell>
        </row>
        <row r="11">
          <cell r="C11" t="str">
            <v>乙酸丁酯</v>
          </cell>
          <cell r="D11">
            <v>586.36700439453102</v>
          </cell>
          <cell r="E11" t="str">
            <v>123-86-4</v>
          </cell>
          <cell r="F11">
            <v>1.6619387865066499</v>
          </cell>
        </row>
        <row r="12">
          <cell r="C12" t="str">
            <v>β-蒎烯</v>
          </cell>
          <cell r="D12">
            <v>32.091804504394503</v>
          </cell>
          <cell r="E12" t="str">
            <v>127-91-3</v>
          </cell>
          <cell r="F12">
            <v>0.25586161017417902</v>
          </cell>
        </row>
        <row r="13">
          <cell r="C13" t="str">
            <v>柠檬烯</v>
          </cell>
          <cell r="D13">
            <v>171.34906005859401</v>
          </cell>
          <cell r="E13" t="str">
            <v>138-86-3</v>
          </cell>
          <cell r="F13">
            <v>1.22387623786926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391.619873046875</v>
          </cell>
          <cell r="E2" t="str">
            <v>124-40-3</v>
          </cell>
          <cell r="F2">
            <v>158.863204956055</v>
          </cell>
        </row>
        <row r="3">
          <cell r="C3" t="str">
            <v>丙醛</v>
          </cell>
          <cell r="D3">
            <v>136.33267211914099</v>
          </cell>
          <cell r="E3" t="str">
            <v>123-38-6</v>
          </cell>
          <cell r="F3">
            <v>3421.78686523438</v>
          </cell>
        </row>
        <row r="4">
          <cell r="C4" t="str">
            <v>异丁醛</v>
          </cell>
          <cell r="D4">
            <v>22.201004028320298</v>
          </cell>
          <cell r="E4" t="str">
            <v>78-84-2</v>
          </cell>
          <cell r="F4">
            <v>715.41973876953102</v>
          </cell>
        </row>
        <row r="5">
          <cell r="C5" t="str">
            <v>正丁醛</v>
          </cell>
          <cell r="D5">
            <v>1766.69665527344</v>
          </cell>
          <cell r="E5" t="str">
            <v>123-72-8</v>
          </cell>
          <cell r="F5">
            <v>22740.861328125</v>
          </cell>
        </row>
        <row r="6">
          <cell r="C6" t="str">
            <v>异丁醇</v>
          </cell>
          <cell r="D6">
            <v>6730.10595703125</v>
          </cell>
          <cell r="E6" t="str">
            <v>78-83-1</v>
          </cell>
          <cell r="F6">
            <v>12400.8369140625</v>
          </cell>
        </row>
        <row r="7">
          <cell r="C7" t="str">
            <v>正丁醇</v>
          </cell>
          <cell r="D7">
            <v>1821.19189453125</v>
          </cell>
          <cell r="E7" t="str">
            <v>71-36-3</v>
          </cell>
          <cell r="F7">
            <v>5282.46728515625</v>
          </cell>
        </row>
        <row r="8">
          <cell r="C8" t="str">
            <v>丙烯酸乙酯</v>
          </cell>
          <cell r="D8">
            <v>34.696743011474602</v>
          </cell>
          <cell r="E8" t="str">
            <v>140-88-5</v>
          </cell>
          <cell r="F8">
            <v>111.541652679443</v>
          </cell>
        </row>
        <row r="9">
          <cell r="C9" t="str">
            <v>乙硫醚</v>
          </cell>
          <cell r="D9">
            <v>11.7084245681763</v>
          </cell>
          <cell r="E9" t="str">
            <v>352-93-2</v>
          </cell>
          <cell r="F9">
            <v>30.757493972778299</v>
          </cell>
        </row>
        <row r="10">
          <cell r="C10" t="str">
            <v>甲基丙烯酸甲酯</v>
          </cell>
          <cell r="D10">
            <v>32.600753784179702</v>
          </cell>
          <cell r="E10" t="str">
            <v>80-62-6</v>
          </cell>
          <cell r="F10">
            <v>96.076812744140597</v>
          </cell>
        </row>
        <row r="11">
          <cell r="C11" t="str">
            <v>乙酸异丁酯</v>
          </cell>
          <cell r="D11">
            <v>90.774421691894503</v>
          </cell>
          <cell r="E11" t="str">
            <v>110-19-0</v>
          </cell>
          <cell r="F11">
            <v>43.966537475585902</v>
          </cell>
        </row>
        <row r="12">
          <cell r="C12" t="str">
            <v>乙酸丁酯</v>
          </cell>
          <cell r="D12">
            <v>422.06243896484398</v>
          </cell>
          <cell r="E12" t="str">
            <v>123-86-4</v>
          </cell>
          <cell r="F12">
            <v>259.26623535156301</v>
          </cell>
        </row>
        <row r="13">
          <cell r="C13" t="str">
            <v>α-蒎烯</v>
          </cell>
          <cell r="D13">
            <v>84.755912780761705</v>
          </cell>
          <cell r="E13" t="str">
            <v>80-56-8</v>
          </cell>
          <cell r="F13">
            <v>48.915904998779297</v>
          </cell>
        </row>
        <row r="14">
          <cell r="C14" t="str">
            <v>β-蒎烯</v>
          </cell>
          <cell r="D14">
            <v>147.10403442382801</v>
          </cell>
          <cell r="E14" t="str">
            <v>127-91-3</v>
          </cell>
          <cell r="F14">
            <v>118.297203063965</v>
          </cell>
        </row>
        <row r="15">
          <cell r="C15" t="str">
            <v>柠檬烯</v>
          </cell>
          <cell r="D15">
            <v>104.195770263672</v>
          </cell>
          <cell r="E15" t="str">
            <v>138-86-3</v>
          </cell>
          <cell r="F15">
            <v>161.298263549805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294.87594604492199</v>
          </cell>
          <cell r="E2" t="str">
            <v>124-40-3</v>
          </cell>
          <cell r="F2">
            <v>0.68366783857345603</v>
          </cell>
        </row>
        <row r="3">
          <cell r="C3" t="str">
            <v>丙醛</v>
          </cell>
          <cell r="D3">
            <v>211.93008422851599</v>
          </cell>
          <cell r="E3" t="str">
            <v>123-38-6</v>
          </cell>
          <cell r="F3">
            <v>30.401346206665</v>
          </cell>
        </row>
        <row r="4">
          <cell r="C4" t="str">
            <v>异戊二烯</v>
          </cell>
          <cell r="D4">
            <v>15.759955406189</v>
          </cell>
          <cell r="E4" t="str">
            <v>78-79-5</v>
          </cell>
          <cell r="F4">
            <v>0.92211794853210405</v>
          </cell>
        </row>
        <row r="5">
          <cell r="C5" t="str">
            <v>异丁醛</v>
          </cell>
          <cell r="D5">
            <v>15.984011650085399</v>
          </cell>
          <cell r="E5" t="str">
            <v>78-84-2</v>
          </cell>
          <cell r="F5">
            <v>2.9438879489898699</v>
          </cell>
        </row>
        <row r="6">
          <cell r="C6" t="str">
            <v>正丁醛</v>
          </cell>
          <cell r="D6">
            <v>1438.37866210937</v>
          </cell>
          <cell r="E6" t="str">
            <v>123-72-8</v>
          </cell>
          <cell r="F6">
            <v>105.819412231445</v>
          </cell>
        </row>
        <row r="7">
          <cell r="C7" t="str">
            <v>异丁醇</v>
          </cell>
          <cell r="D7">
            <v>1242.55773925781</v>
          </cell>
          <cell r="E7" t="str">
            <v>78-83-1</v>
          </cell>
          <cell r="F7">
            <v>13.0855760574341</v>
          </cell>
        </row>
        <row r="8">
          <cell r="C8" t="str">
            <v>异戊醛</v>
          </cell>
          <cell r="D8">
            <v>72.289688110351605</v>
          </cell>
          <cell r="E8" t="str">
            <v>590-86-3</v>
          </cell>
          <cell r="F8">
            <v>1.6142816543579099</v>
          </cell>
        </row>
        <row r="9">
          <cell r="C9" t="str">
            <v>正丁醇</v>
          </cell>
          <cell r="D9">
            <v>5257.2138671875</v>
          </cell>
          <cell r="E9" t="str">
            <v>71-36-3</v>
          </cell>
          <cell r="F9">
            <v>87.1533203125</v>
          </cell>
        </row>
        <row r="10">
          <cell r="C10" t="str">
            <v>丙烯酸乙酯</v>
          </cell>
          <cell r="D10">
            <v>138.880126953125</v>
          </cell>
          <cell r="E10" t="str">
            <v>140-88-5</v>
          </cell>
          <cell r="F10">
            <v>0.79269200563430797</v>
          </cell>
        </row>
        <row r="11">
          <cell r="C11" t="str">
            <v>正戊醛</v>
          </cell>
          <cell r="D11">
            <v>38.765426635742202</v>
          </cell>
          <cell r="E11" t="str">
            <v>110-62-3</v>
          </cell>
          <cell r="F11">
            <v>0.17154921591281899</v>
          </cell>
        </row>
        <row r="12">
          <cell r="C12" t="str">
            <v>甲基丙烯酸甲酯</v>
          </cell>
          <cell r="D12">
            <v>38.950912475585902</v>
          </cell>
          <cell r="E12" t="str">
            <v>80-62-6</v>
          </cell>
          <cell r="F12">
            <v>0.65607845783233598</v>
          </cell>
        </row>
        <row r="13">
          <cell r="C13" t="str">
            <v>乙酸丁酯</v>
          </cell>
          <cell r="D13">
            <v>450.49841308593801</v>
          </cell>
          <cell r="E13" t="str">
            <v>123-86-4</v>
          </cell>
          <cell r="F13">
            <v>1.58164763450623</v>
          </cell>
        </row>
        <row r="14">
          <cell r="C14" t="str">
            <v>α-蒎烯</v>
          </cell>
          <cell r="D14">
            <v>38.905479431152301</v>
          </cell>
          <cell r="E14" t="str">
            <v>80-56-8</v>
          </cell>
          <cell r="F14">
            <v>0.12833291292190599</v>
          </cell>
        </row>
        <row r="15">
          <cell r="C15" t="str">
            <v>柠檬烯</v>
          </cell>
          <cell r="D15">
            <v>112.266059875488</v>
          </cell>
          <cell r="E15" t="str">
            <v>138-86-3</v>
          </cell>
          <cell r="F15">
            <v>0.99328815937042203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73.266281127929702</v>
          </cell>
          <cell r="E2" t="str">
            <v>463-58-1</v>
          </cell>
          <cell r="F2">
            <v>5462.95068359375</v>
          </cell>
        </row>
        <row r="3">
          <cell r="C3" t="str">
            <v>二甲胺</v>
          </cell>
          <cell r="D3">
            <v>125.09463500976599</v>
          </cell>
          <cell r="E3" t="str">
            <v>124-40-3</v>
          </cell>
          <cell r="F3">
            <v>37.2922687530518</v>
          </cell>
        </row>
        <row r="4">
          <cell r="C4" t="str">
            <v>丙醛</v>
          </cell>
          <cell r="D4">
            <v>142.19705200195301</v>
          </cell>
          <cell r="E4" t="str">
            <v>123-38-6</v>
          </cell>
          <cell r="F4">
            <v>1298.32897949219</v>
          </cell>
        </row>
        <row r="5">
          <cell r="C5" t="str">
            <v>异丁醛</v>
          </cell>
          <cell r="D5">
            <v>18.265352249145501</v>
          </cell>
          <cell r="E5" t="str">
            <v>78-84-2</v>
          </cell>
          <cell r="F5">
            <v>214.1201171875</v>
          </cell>
        </row>
        <row r="6">
          <cell r="C6" t="str">
            <v>正丁醛</v>
          </cell>
          <cell r="D6">
            <v>1694.20971679687</v>
          </cell>
          <cell r="E6" t="str">
            <v>123-72-8</v>
          </cell>
          <cell r="F6">
            <v>7933.2880859375</v>
          </cell>
        </row>
        <row r="7">
          <cell r="C7" t="str">
            <v>异丁醇</v>
          </cell>
          <cell r="D7">
            <v>1277.2470703125</v>
          </cell>
          <cell r="E7" t="str">
            <v>78-83-1</v>
          </cell>
          <cell r="F7">
            <v>856.140625</v>
          </cell>
        </row>
        <row r="8">
          <cell r="C8" t="str">
            <v>异戊醛</v>
          </cell>
          <cell r="D8">
            <v>91.167900085449205</v>
          </cell>
          <cell r="E8" t="str">
            <v>590-86-3</v>
          </cell>
          <cell r="F8">
            <v>129.58026123046901</v>
          </cell>
        </row>
        <row r="9">
          <cell r="C9" t="str">
            <v>正丁醇</v>
          </cell>
          <cell r="D9">
            <v>753.91558837890602</v>
          </cell>
          <cell r="E9" t="str">
            <v>71-36-3</v>
          </cell>
          <cell r="F9">
            <v>795.50872802734398</v>
          </cell>
        </row>
        <row r="10">
          <cell r="C10" t="str">
            <v>丙烯酸乙酯</v>
          </cell>
          <cell r="D10">
            <v>108.155479431152</v>
          </cell>
          <cell r="E10" t="str">
            <v>140-88-5</v>
          </cell>
          <cell r="F10">
            <v>105.12953948974599</v>
          </cell>
        </row>
        <row r="11">
          <cell r="C11" t="str">
            <v>乙酸丁酯</v>
          </cell>
          <cell r="D11">
            <v>521.55908203125</v>
          </cell>
          <cell r="E11" t="str">
            <v>123-86-4</v>
          </cell>
          <cell r="F11">
            <v>116.55043792724599</v>
          </cell>
        </row>
        <row r="12">
          <cell r="C12" t="str">
            <v>α-蒎烯</v>
          </cell>
          <cell r="D12">
            <v>29.0326137542725</v>
          </cell>
          <cell r="E12" t="str">
            <v>80-56-8</v>
          </cell>
          <cell r="F12">
            <v>6.0954718589782697</v>
          </cell>
        </row>
        <row r="13">
          <cell r="C13" t="str">
            <v>β-蒎烯</v>
          </cell>
          <cell r="D13">
            <v>30.6713962554932</v>
          </cell>
          <cell r="E13" t="str">
            <v>127-91-3</v>
          </cell>
          <cell r="F13">
            <v>8.9727296829223597</v>
          </cell>
        </row>
        <row r="14">
          <cell r="C14" t="str">
            <v>柠檬烯</v>
          </cell>
          <cell r="D14">
            <v>103.74658203125</v>
          </cell>
          <cell r="E14" t="str">
            <v>138-86-3</v>
          </cell>
          <cell r="F14">
            <v>58.424434661865199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471.77096557617199</v>
          </cell>
          <cell r="E2" t="str">
            <v>124-40-3</v>
          </cell>
          <cell r="F2">
            <v>909.92585754394497</v>
          </cell>
        </row>
        <row r="3">
          <cell r="C3" t="str">
            <v>丙醛</v>
          </cell>
          <cell r="D3">
            <v>170.06805419921901</v>
          </cell>
          <cell r="E3" t="str">
            <v>123-38-6</v>
          </cell>
          <cell r="F3">
            <v>5226.720703125</v>
          </cell>
        </row>
        <row r="4">
          <cell r="C4" t="str">
            <v>异丁醛</v>
          </cell>
          <cell r="D4">
            <v>25.694868087768601</v>
          </cell>
          <cell r="E4" t="str">
            <v>78-84-2</v>
          </cell>
          <cell r="F4">
            <v>1689.91223144531</v>
          </cell>
        </row>
        <row r="5">
          <cell r="C5" t="str">
            <v>正丁醛</v>
          </cell>
          <cell r="D5">
            <v>1952.03430175781</v>
          </cell>
          <cell r="E5" t="str">
            <v>123-72-8</v>
          </cell>
          <cell r="F5">
            <v>30767.052734375</v>
          </cell>
        </row>
        <row r="6">
          <cell r="C6" t="str">
            <v>异丁醇</v>
          </cell>
          <cell r="D6">
            <v>155.54556274414099</v>
          </cell>
          <cell r="E6" t="str">
            <v>78-83-1</v>
          </cell>
          <cell r="F6">
            <v>866.35293579101597</v>
          </cell>
        </row>
        <row r="7">
          <cell r="C7" t="str">
            <v>正丁醇</v>
          </cell>
          <cell r="D7">
            <v>5973.4033203125</v>
          </cell>
          <cell r="E7" t="str">
            <v>71-36-3</v>
          </cell>
          <cell r="F7">
            <v>21215.65625</v>
          </cell>
        </row>
        <row r="8">
          <cell r="C8" t="str">
            <v>乙酸丁酯</v>
          </cell>
          <cell r="D8">
            <v>601.160888671875</v>
          </cell>
          <cell r="E8" t="str">
            <v>123-86-4</v>
          </cell>
          <cell r="F8">
            <v>452.18225097656301</v>
          </cell>
        </row>
        <row r="9">
          <cell r="C9" t="str">
            <v>α-蒎烯</v>
          </cell>
          <cell r="D9">
            <v>226.59243774414099</v>
          </cell>
          <cell r="E9" t="str">
            <v>80-56-8</v>
          </cell>
          <cell r="F9">
            <v>160.13232421875</v>
          </cell>
        </row>
        <row r="10">
          <cell r="C10" t="str">
            <v>β-蒎烯</v>
          </cell>
          <cell r="D10">
            <v>42.730442047119098</v>
          </cell>
          <cell r="E10" t="str">
            <v>127-91-3</v>
          </cell>
          <cell r="F10">
            <v>70.879295349121094</v>
          </cell>
        </row>
        <row r="11">
          <cell r="C11" t="str">
            <v>柠檬烯</v>
          </cell>
          <cell r="D11">
            <v>2437.6396484375</v>
          </cell>
          <cell r="E11" t="str">
            <v>138-86-3</v>
          </cell>
          <cell r="F11">
            <v>4620.64501953125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23.1204719543457</v>
          </cell>
          <cell r="E2" t="str">
            <v>463-58-1</v>
          </cell>
          <cell r="F2">
            <v>24.1040744781494</v>
          </cell>
        </row>
        <row r="3">
          <cell r="C3" t="str">
            <v>二甲胺</v>
          </cell>
          <cell r="D3">
            <v>437.68737792968801</v>
          </cell>
          <cell r="E3" t="str">
            <v>124-40-3</v>
          </cell>
          <cell r="F3">
            <v>3.1074922680854802</v>
          </cell>
        </row>
        <row r="4">
          <cell r="C4" t="str">
            <v>丙醛</v>
          </cell>
          <cell r="D4">
            <v>208.83279418945301</v>
          </cell>
          <cell r="E4" t="str">
            <v>123-38-6</v>
          </cell>
          <cell r="F4">
            <v>26.660203933715799</v>
          </cell>
        </row>
        <row r="5">
          <cell r="C5" t="str">
            <v>异戊二烯</v>
          </cell>
          <cell r="D5">
            <v>20.836988449096701</v>
          </cell>
          <cell r="E5" t="str">
            <v>78-79-5</v>
          </cell>
          <cell r="F5">
            <v>1.84805488586426</v>
          </cell>
        </row>
        <row r="6">
          <cell r="C6" t="str">
            <v>异丁醛</v>
          </cell>
          <cell r="D6">
            <v>22.1438312530518</v>
          </cell>
          <cell r="E6" t="str">
            <v>78-84-2</v>
          </cell>
          <cell r="F6">
            <v>3.6295504570007302</v>
          </cell>
        </row>
        <row r="7">
          <cell r="C7" t="str">
            <v>正丁醛</v>
          </cell>
          <cell r="D7">
            <v>2279.09716796875</v>
          </cell>
          <cell r="E7" t="str">
            <v>123-72-8</v>
          </cell>
          <cell r="F7">
            <v>149.21742248535199</v>
          </cell>
        </row>
        <row r="8">
          <cell r="C8" t="str">
            <v>异丁醇</v>
          </cell>
          <cell r="D8">
            <v>251.63485717773401</v>
          </cell>
          <cell r="E8" t="str">
            <v>78-83-1</v>
          </cell>
          <cell r="F8">
            <v>2.3583683967590301</v>
          </cell>
        </row>
        <row r="9">
          <cell r="C9" t="str">
            <v>正丁醇</v>
          </cell>
          <cell r="D9">
            <v>4863.18115234375</v>
          </cell>
          <cell r="E9" t="str">
            <v>71-36-3</v>
          </cell>
          <cell r="F9">
            <v>71.748580932617202</v>
          </cell>
        </row>
        <row r="10">
          <cell r="C10" t="str">
            <v>丙烯酸乙酯</v>
          </cell>
          <cell r="D10">
            <v>36.757038116455099</v>
          </cell>
          <cell r="E10" t="str">
            <v>140-88-5</v>
          </cell>
          <cell r="F10">
            <v>0.186710804700851</v>
          </cell>
        </row>
        <row r="11">
          <cell r="C11" t="str">
            <v>乙酸异丁酯</v>
          </cell>
          <cell r="D11">
            <v>119.058479309082</v>
          </cell>
          <cell r="E11" t="str">
            <v>110-19-0</v>
          </cell>
          <cell r="F11">
            <v>0.293312698602676</v>
          </cell>
        </row>
        <row r="12">
          <cell r="C12" t="str">
            <v>乙酸丁酯</v>
          </cell>
          <cell r="D12">
            <v>522.94549560546898</v>
          </cell>
          <cell r="E12" t="str">
            <v>123-86-4</v>
          </cell>
          <cell r="F12">
            <v>1.63394510746002</v>
          </cell>
        </row>
        <row r="13">
          <cell r="C13" t="str">
            <v>α-蒎烯</v>
          </cell>
          <cell r="D13">
            <v>78.581672668457003</v>
          </cell>
          <cell r="E13" t="str">
            <v>80-56-8</v>
          </cell>
          <cell r="F13">
            <v>0.23068168759346</v>
          </cell>
        </row>
        <row r="14">
          <cell r="C14" t="str">
            <v>β-蒎烯</v>
          </cell>
          <cell r="D14">
            <v>38.133522033691399</v>
          </cell>
          <cell r="E14" t="str">
            <v>127-91-3</v>
          </cell>
          <cell r="F14">
            <v>0.15597988665103901</v>
          </cell>
        </row>
        <row r="15">
          <cell r="C15" t="str">
            <v>柠檬烯</v>
          </cell>
          <cell r="D15">
            <v>819.65930175781295</v>
          </cell>
          <cell r="E15" t="str">
            <v>138-86-3</v>
          </cell>
          <cell r="F15">
            <v>6.4539370536804199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315.38552856445301</v>
          </cell>
          <cell r="E2" t="str">
            <v>124-40-3</v>
          </cell>
          <cell r="F2">
            <v>1.0631004571914699</v>
          </cell>
        </row>
        <row r="3">
          <cell r="C3" t="str">
            <v>丙醛</v>
          </cell>
          <cell r="D3">
            <v>173.27664184570301</v>
          </cell>
          <cell r="E3" t="str">
            <v>123-38-6</v>
          </cell>
          <cell r="F3">
            <v>19.947071075439499</v>
          </cell>
        </row>
        <row r="4">
          <cell r="C4" t="str">
            <v>异戊二烯</v>
          </cell>
          <cell r="D4">
            <v>18.359430313110401</v>
          </cell>
          <cell r="E4" t="str">
            <v>78-79-5</v>
          </cell>
          <cell r="F4">
            <v>0.86204427480697599</v>
          </cell>
        </row>
        <row r="5">
          <cell r="C5" t="str">
            <v>正丁醛</v>
          </cell>
          <cell r="D5">
            <v>1821.72290039062</v>
          </cell>
          <cell r="E5" t="str">
            <v>123-72-8</v>
          </cell>
          <cell r="F5">
            <v>107.55072021484401</v>
          </cell>
        </row>
        <row r="6">
          <cell r="C6" t="str">
            <v>正丁醇</v>
          </cell>
          <cell r="D6">
            <v>3625.4580078125</v>
          </cell>
          <cell r="E6" t="str">
            <v>71-36-3</v>
          </cell>
          <cell r="F6">
            <v>64.925127029418903</v>
          </cell>
        </row>
        <row r="7">
          <cell r="C7" t="str">
            <v>正戊醛</v>
          </cell>
          <cell r="D7">
            <v>51.906112670898402</v>
          </cell>
          <cell r="E7" t="str">
            <v>110-62-3</v>
          </cell>
          <cell r="F7">
            <v>0.184332355856895</v>
          </cell>
        </row>
        <row r="8">
          <cell r="C8" t="str">
            <v>乙酸异丁酯</v>
          </cell>
          <cell r="D8">
            <v>71.753173828125</v>
          </cell>
          <cell r="E8" t="str">
            <v>110-19-0</v>
          </cell>
          <cell r="F8">
            <v>0.15939913690090199</v>
          </cell>
        </row>
        <row r="9">
          <cell r="C9" t="str">
            <v>乙酸丁酯</v>
          </cell>
          <cell r="D9">
            <v>393.67150878906301</v>
          </cell>
          <cell r="E9" t="str">
            <v>123-86-4</v>
          </cell>
          <cell r="F9">
            <v>1.10914754867554</v>
          </cell>
        </row>
        <row r="10">
          <cell r="C10" t="str">
            <v>α-蒎烯</v>
          </cell>
          <cell r="D10">
            <v>45.6915473937988</v>
          </cell>
          <cell r="E10" t="str">
            <v>80-56-8</v>
          </cell>
          <cell r="F10">
            <v>0.12094893306493799</v>
          </cell>
        </row>
        <row r="11">
          <cell r="C11" t="str">
            <v>β-蒎烯</v>
          </cell>
          <cell r="D11">
            <v>65.883094787597699</v>
          </cell>
          <cell r="E11" t="str">
            <v>127-91-3</v>
          </cell>
          <cell r="F11">
            <v>0.24300207197666199</v>
          </cell>
        </row>
        <row r="12">
          <cell r="C12" t="str">
            <v>柠檬烯</v>
          </cell>
          <cell r="D12">
            <v>452.98175048828102</v>
          </cell>
          <cell r="E12" t="str">
            <v>138-86-3</v>
          </cell>
          <cell r="F12">
            <v>3.2162246704101598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228.01615905761699</v>
          </cell>
          <cell r="E2" t="str">
            <v>124-40-3</v>
          </cell>
          <cell r="F2">
            <v>0.392191082239151</v>
          </cell>
        </row>
        <row r="3">
          <cell r="C3" t="str">
            <v>丙醛</v>
          </cell>
          <cell r="D3">
            <v>202.30676269531199</v>
          </cell>
          <cell r="E3" t="str">
            <v>123-38-6</v>
          </cell>
          <cell r="F3">
            <v>21.529647827148398</v>
          </cell>
        </row>
        <row r="4">
          <cell r="C4" t="str">
            <v>正丁醛</v>
          </cell>
          <cell r="D4">
            <v>2098.779296875</v>
          </cell>
          <cell r="E4" t="str">
            <v>123-72-8</v>
          </cell>
          <cell r="F4">
            <v>114.54738616943401</v>
          </cell>
        </row>
        <row r="5">
          <cell r="C5" t="str">
            <v>异丁醇</v>
          </cell>
          <cell r="D5">
            <v>133.669357299805</v>
          </cell>
          <cell r="E5" t="str">
            <v>78-83-1</v>
          </cell>
          <cell r="F5">
            <v>1.04432201385498</v>
          </cell>
        </row>
        <row r="6">
          <cell r="C6" t="str">
            <v>正丁醇</v>
          </cell>
          <cell r="D6">
            <v>4806.2021484375</v>
          </cell>
          <cell r="E6" t="str">
            <v>71-36-3</v>
          </cell>
          <cell r="F6">
            <v>59.109413146972699</v>
          </cell>
        </row>
        <row r="7">
          <cell r="C7" t="str">
            <v>丙烯酸乙酯</v>
          </cell>
          <cell r="D7">
            <v>65.2803955078125</v>
          </cell>
          <cell r="E7" t="str">
            <v>140-88-5</v>
          </cell>
          <cell r="F7">
            <v>0.27642253041267401</v>
          </cell>
        </row>
        <row r="8">
          <cell r="C8" t="str">
            <v>二甲二硫</v>
          </cell>
          <cell r="D8">
            <v>13.7909288406372</v>
          </cell>
          <cell r="E8" t="str">
            <v>624-92-0</v>
          </cell>
          <cell r="F8">
            <v>0.122787103056908</v>
          </cell>
        </row>
        <row r="9">
          <cell r="C9" t="str">
            <v>乙酸丁酯</v>
          </cell>
          <cell r="D9">
            <v>462.78842163085898</v>
          </cell>
          <cell r="E9" t="str">
            <v>123-86-4</v>
          </cell>
          <cell r="F9">
            <v>1.20538353919983</v>
          </cell>
        </row>
        <row r="10">
          <cell r="C10" t="str">
            <v>α-蒎烯</v>
          </cell>
          <cell r="D10">
            <v>47.5508003234863</v>
          </cell>
          <cell r="E10" t="str">
            <v>80-56-8</v>
          </cell>
          <cell r="F10">
            <v>0.116362065076828</v>
          </cell>
        </row>
        <row r="11">
          <cell r="C11" t="str">
            <v>β-蒎烯</v>
          </cell>
          <cell r="D11">
            <v>63.769119262695298</v>
          </cell>
          <cell r="E11" t="str">
            <v>127-91-3</v>
          </cell>
          <cell r="F11">
            <v>0.324790500104427</v>
          </cell>
        </row>
        <row r="12">
          <cell r="C12" t="str">
            <v>柠檬烯</v>
          </cell>
          <cell r="D12">
            <v>538.511474609375</v>
          </cell>
          <cell r="E12" t="str">
            <v>138-86-3</v>
          </cell>
          <cell r="F12">
            <v>3.5346632003784202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182.79550170898401</v>
          </cell>
          <cell r="E2" t="str">
            <v>124-40-3</v>
          </cell>
          <cell r="F2">
            <v>1.1129110455513</v>
          </cell>
        </row>
        <row r="3">
          <cell r="C3" t="str">
            <v>丙醛</v>
          </cell>
          <cell r="D3">
            <v>140.59933471679699</v>
          </cell>
          <cell r="E3" t="str">
            <v>123-38-6</v>
          </cell>
          <cell r="F3">
            <v>15.829266548156699</v>
          </cell>
        </row>
        <row r="4">
          <cell r="C4" t="str">
            <v>异戊二烯</v>
          </cell>
          <cell r="D4">
            <v>13.7022247314453</v>
          </cell>
          <cell r="E4" t="str">
            <v>78-79-5</v>
          </cell>
          <cell r="F4">
            <v>0.62921619415283203</v>
          </cell>
        </row>
        <row r="5">
          <cell r="C5" t="str">
            <v>正丁醛</v>
          </cell>
          <cell r="D5">
            <v>926.66729736328102</v>
          </cell>
          <cell r="E5" t="str">
            <v>123-72-8</v>
          </cell>
          <cell r="F5">
            <v>53.504867553710902</v>
          </cell>
        </row>
        <row r="6">
          <cell r="C6" t="str">
            <v>异丁醇</v>
          </cell>
          <cell r="D6">
            <v>73.066703796386705</v>
          </cell>
          <cell r="E6" t="str">
            <v>78-83-1</v>
          </cell>
          <cell r="F6">
            <v>0.60391122102737405</v>
          </cell>
        </row>
        <row r="7">
          <cell r="C7" t="str">
            <v>异戊醛</v>
          </cell>
          <cell r="D7">
            <v>381.63534545898398</v>
          </cell>
          <cell r="E7" t="str">
            <v>590-86-3</v>
          </cell>
          <cell r="F7">
            <v>6.6885023117065403</v>
          </cell>
        </row>
        <row r="8">
          <cell r="C8" t="str">
            <v>正丁醇</v>
          </cell>
          <cell r="D8">
            <v>3842.02685546875</v>
          </cell>
          <cell r="E8" t="str">
            <v>71-36-3</v>
          </cell>
          <cell r="F8">
            <v>49.988033294677699</v>
          </cell>
        </row>
        <row r="9">
          <cell r="C9" t="str">
            <v>正戊醛</v>
          </cell>
          <cell r="D9">
            <v>46.506168365478501</v>
          </cell>
          <cell r="E9" t="str">
            <v>110-62-3</v>
          </cell>
          <cell r="F9">
            <v>0.41159629821777299</v>
          </cell>
        </row>
        <row r="10">
          <cell r="C10" t="str">
            <v>丙烯酸乙酯</v>
          </cell>
          <cell r="D10">
            <v>42.796382904052699</v>
          </cell>
          <cell r="E10" t="str">
            <v>140-88-5</v>
          </cell>
          <cell r="F10">
            <v>0.36996145546436299</v>
          </cell>
        </row>
        <row r="11">
          <cell r="C11" t="str">
            <v>甲基丙烯酸甲酯</v>
          </cell>
          <cell r="D11">
            <v>39.972633361816399</v>
          </cell>
          <cell r="E11" t="str">
            <v>80-62-6</v>
          </cell>
          <cell r="F11">
            <v>0.52841877937316895</v>
          </cell>
        </row>
        <row r="12">
          <cell r="C12" t="str">
            <v>乙酸丁酯</v>
          </cell>
          <cell r="D12">
            <v>421.38912963867199</v>
          </cell>
          <cell r="E12" t="str">
            <v>123-86-4</v>
          </cell>
          <cell r="F12">
            <v>1.1611200571060201</v>
          </cell>
        </row>
        <row r="13">
          <cell r="C13" t="str">
            <v>α-蒎烯</v>
          </cell>
          <cell r="D13">
            <v>12.509521484375</v>
          </cell>
          <cell r="E13" t="str">
            <v>80-56-8</v>
          </cell>
          <cell r="F13">
            <v>3.2385103404521901E-2</v>
          </cell>
        </row>
        <row r="14">
          <cell r="C14" t="str">
            <v>β-蒎烯</v>
          </cell>
          <cell r="D14">
            <v>23.467441558837901</v>
          </cell>
          <cell r="E14" t="str">
            <v>127-91-3</v>
          </cell>
          <cell r="F14">
            <v>8.4652572870254503E-2</v>
          </cell>
        </row>
        <row r="15">
          <cell r="C15" t="str">
            <v>柠檬烯</v>
          </cell>
          <cell r="D15">
            <v>12.9805908203125</v>
          </cell>
          <cell r="E15" t="str">
            <v>138-86-3</v>
          </cell>
          <cell r="F15">
            <v>9.0136058628559099E-2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319.18786621093801</v>
          </cell>
          <cell r="E2" t="str">
            <v>124-40-3</v>
          </cell>
          <cell r="F2">
            <v>0.86581343412399303</v>
          </cell>
        </row>
        <row r="3">
          <cell r="C3" t="str">
            <v>羰基硫</v>
          </cell>
          <cell r="D3">
            <v>10.145063400268601</v>
          </cell>
          <cell r="E3" t="str">
            <v>463-58-1</v>
          </cell>
          <cell r="F3">
            <v>10.6230173110962</v>
          </cell>
        </row>
        <row r="4">
          <cell r="C4" t="str">
            <v>丙醛</v>
          </cell>
          <cell r="D4">
            <v>124.895668029785</v>
          </cell>
          <cell r="E4" t="str">
            <v>123-38-6</v>
          </cell>
          <cell r="F4">
            <v>16.014430999755898</v>
          </cell>
        </row>
        <row r="5">
          <cell r="C5" t="str">
            <v>异戊二烯</v>
          </cell>
          <cell r="D5">
            <v>11.7605895996094</v>
          </cell>
          <cell r="E5" t="str">
            <v>78-79-5</v>
          </cell>
          <cell r="F5">
            <v>0.61506998538970903</v>
          </cell>
        </row>
        <row r="6">
          <cell r="C6" t="str">
            <v>正丁醛</v>
          </cell>
          <cell r="D6">
            <v>62.250530242919901</v>
          </cell>
          <cell r="E6" t="str">
            <v>123-72-8</v>
          </cell>
          <cell r="F6">
            <v>4.0935406684875497</v>
          </cell>
        </row>
        <row r="7">
          <cell r="C7" t="str">
            <v>异丁醇</v>
          </cell>
          <cell r="D7">
            <v>818.53479003906295</v>
          </cell>
          <cell r="E7" t="str">
            <v>78-83-1</v>
          </cell>
          <cell r="F7">
            <v>7.7050838470459002</v>
          </cell>
        </row>
        <row r="8">
          <cell r="C8" t="str">
            <v>异戊醛</v>
          </cell>
          <cell r="D8">
            <v>98.131385803222699</v>
          </cell>
          <cell r="E8" t="str">
            <v>590-86-3</v>
          </cell>
          <cell r="F8">
            <v>1.9587311744689899</v>
          </cell>
        </row>
        <row r="9">
          <cell r="C9" t="str">
            <v>正丁醇</v>
          </cell>
          <cell r="D9">
            <v>130.43667602539099</v>
          </cell>
          <cell r="E9" t="str">
            <v>71-36-3</v>
          </cell>
          <cell r="F9">
            <v>2.9484828710555999</v>
          </cell>
        </row>
        <row r="10">
          <cell r="C10" t="str">
            <v>丙烯酸乙酯</v>
          </cell>
          <cell r="D10">
            <v>52.1416015625</v>
          </cell>
          <cell r="E10" t="str">
            <v>140-88-5</v>
          </cell>
          <cell r="F10">
            <v>0.44694949686527302</v>
          </cell>
        </row>
        <row r="11">
          <cell r="C11" t="str">
            <v>乙酸丁酯</v>
          </cell>
          <cell r="D11">
            <v>546.95617675781295</v>
          </cell>
          <cell r="E11" t="str">
            <v>123-86-4</v>
          </cell>
          <cell r="F11">
            <v>1.7164571285247801</v>
          </cell>
        </row>
        <row r="12">
          <cell r="C12" t="str">
            <v>α-蒎烯</v>
          </cell>
          <cell r="D12">
            <v>10.993548393249499</v>
          </cell>
          <cell r="E12" t="str">
            <v>80-56-8</v>
          </cell>
          <cell r="F12">
            <v>3.24137359857559E-2</v>
          </cell>
        </row>
        <row r="13">
          <cell r="C13" t="str">
            <v>β-蒎烯</v>
          </cell>
          <cell r="D13">
            <v>34.777004241943402</v>
          </cell>
          <cell r="E13" t="str">
            <v>127-91-3</v>
          </cell>
          <cell r="F13">
            <v>0.14287400245666501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359.00598144531301</v>
          </cell>
          <cell r="E2" t="str">
            <v>124-40-3</v>
          </cell>
          <cell r="F2">
            <v>1.11883765459061</v>
          </cell>
        </row>
        <row r="3">
          <cell r="C3" t="str">
            <v>丙醛</v>
          </cell>
          <cell r="D3">
            <v>173.477615356445</v>
          </cell>
          <cell r="E3" t="str">
            <v>123-38-6</v>
          </cell>
          <cell r="F3">
            <v>17.494428634643601</v>
          </cell>
        </row>
        <row r="4">
          <cell r="C4" t="str">
            <v>异戊二烯</v>
          </cell>
          <cell r="D4">
            <v>13.2774095535278</v>
          </cell>
          <cell r="E4" t="str">
            <v>78-79-5</v>
          </cell>
          <cell r="F4">
            <v>1.2577805519103999</v>
          </cell>
        </row>
        <row r="5">
          <cell r="C5" t="str">
            <v>异丁醛</v>
          </cell>
          <cell r="D5">
            <v>36.090129852294901</v>
          </cell>
          <cell r="E5" t="str">
            <v>78-84-2</v>
          </cell>
          <cell r="F5">
            <v>4.6728310585021999</v>
          </cell>
        </row>
        <row r="6">
          <cell r="C6" t="str">
            <v>正丁醛</v>
          </cell>
          <cell r="D6">
            <v>356.66677856445301</v>
          </cell>
          <cell r="E6" t="str">
            <v>123-72-8</v>
          </cell>
          <cell r="F6">
            <v>18.446369171142599</v>
          </cell>
        </row>
        <row r="7">
          <cell r="C7" t="str">
            <v>异戊醛</v>
          </cell>
          <cell r="D7">
            <v>69.051933288574205</v>
          </cell>
          <cell r="E7" t="str">
            <v>590-86-3</v>
          </cell>
          <cell r="F7">
            <v>1.0840140581130999</v>
          </cell>
        </row>
        <row r="8">
          <cell r="C8" t="str">
            <v>正丁醇</v>
          </cell>
          <cell r="D8">
            <v>2148.54345703125</v>
          </cell>
          <cell r="E8" t="str">
            <v>71-36-3</v>
          </cell>
          <cell r="F8">
            <v>36.327563285827601</v>
          </cell>
        </row>
        <row r="9">
          <cell r="C9" t="str">
            <v>丙烯酸乙酯</v>
          </cell>
          <cell r="D9">
            <v>72.481399536132798</v>
          </cell>
          <cell r="E9" t="str">
            <v>140-88-5</v>
          </cell>
          <cell r="F9">
            <v>0.52681209146976504</v>
          </cell>
        </row>
        <row r="10">
          <cell r="C10" t="str">
            <v>乙酸异丁酯</v>
          </cell>
          <cell r="D10">
            <v>65.590293884277301</v>
          </cell>
          <cell r="E10" t="str">
            <v>110-19-0</v>
          </cell>
          <cell r="F10">
            <v>0.12764437496662101</v>
          </cell>
        </row>
        <row r="11">
          <cell r="C11" t="str">
            <v>乙酸丁酯</v>
          </cell>
          <cell r="D11">
            <v>460.23577880859398</v>
          </cell>
          <cell r="E11" t="str">
            <v>123-86-4</v>
          </cell>
          <cell r="F11">
            <v>1.1359337568283101</v>
          </cell>
        </row>
        <row r="12">
          <cell r="C12" t="str">
            <v>β-蒎烯</v>
          </cell>
          <cell r="D12">
            <v>67.872550964355497</v>
          </cell>
          <cell r="E12" t="str">
            <v>127-91-3</v>
          </cell>
          <cell r="F12">
            <v>0.334687359631062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1245.86657714844</v>
          </cell>
          <cell r="E2" t="str">
            <v>124-40-3</v>
          </cell>
          <cell r="F2">
            <v>2.9397025108337398</v>
          </cell>
        </row>
        <row r="3">
          <cell r="C3" t="str">
            <v>丙醛</v>
          </cell>
          <cell r="D3">
            <v>117.907501220703</v>
          </cell>
          <cell r="E3" t="str">
            <v>123-38-6</v>
          </cell>
          <cell r="F3">
            <v>17.213441848754901</v>
          </cell>
        </row>
        <row r="4">
          <cell r="C4" t="str">
            <v>异戊二烯</v>
          </cell>
          <cell r="D4">
            <v>21.9234733581543</v>
          </cell>
          <cell r="E4" t="str">
            <v>78-79-5</v>
          </cell>
          <cell r="F4">
            <v>1.30546998977661</v>
          </cell>
        </row>
        <row r="5">
          <cell r="C5" t="str">
            <v>异丁醛</v>
          </cell>
          <cell r="D5">
            <v>16.855167388916001</v>
          </cell>
          <cell r="E5" t="str">
            <v>78-84-2</v>
          </cell>
          <cell r="F5">
            <v>3.1593272686004599</v>
          </cell>
        </row>
        <row r="6">
          <cell r="C6" t="str">
            <v>正丁醛</v>
          </cell>
          <cell r="D6">
            <v>1404.35278320312</v>
          </cell>
          <cell r="E6" t="str">
            <v>123-72-8</v>
          </cell>
          <cell r="F6">
            <v>105.14639282226599</v>
          </cell>
        </row>
        <row r="7">
          <cell r="C7" t="str">
            <v>异戊醛</v>
          </cell>
          <cell r="D7">
            <v>43.916378021240199</v>
          </cell>
          <cell r="E7" t="str">
            <v>590-86-3</v>
          </cell>
          <cell r="F7">
            <v>0.99805742502212502</v>
          </cell>
        </row>
        <row r="8">
          <cell r="C8" t="str">
            <v>正丁醇</v>
          </cell>
          <cell r="D8">
            <v>350.30728149414102</v>
          </cell>
          <cell r="E8" t="str">
            <v>71-36-3</v>
          </cell>
          <cell r="F8">
            <v>24.5783853530884</v>
          </cell>
        </row>
        <row r="9">
          <cell r="C9" t="str">
            <v>丙烯酸乙酯</v>
          </cell>
          <cell r="D9">
            <v>30.846250534057599</v>
          </cell>
          <cell r="E9" t="str">
            <v>140-88-5</v>
          </cell>
          <cell r="F9">
            <v>0.67447166144847903</v>
          </cell>
        </row>
        <row r="10">
          <cell r="C10" t="str">
            <v>正戊醛</v>
          </cell>
          <cell r="D10">
            <v>71.189163208007798</v>
          </cell>
          <cell r="E10" t="str">
            <v>110-62-3</v>
          </cell>
          <cell r="F10">
            <v>0.32061520218849199</v>
          </cell>
        </row>
        <row r="11">
          <cell r="C11" t="str">
            <v>甲基丙烯酸甲酯</v>
          </cell>
          <cell r="D11">
            <v>53.097530364990199</v>
          </cell>
          <cell r="E11" t="str">
            <v>80-62-6</v>
          </cell>
          <cell r="F11">
            <v>0.91020357608795199</v>
          </cell>
        </row>
        <row r="12">
          <cell r="C12" t="str">
            <v>乙酸异丁酯</v>
          </cell>
          <cell r="D12">
            <v>99.662498474121094</v>
          </cell>
          <cell r="E12" t="str">
            <v>110-19-0</v>
          </cell>
          <cell r="F12">
            <v>0.280778467655182</v>
          </cell>
        </row>
        <row r="13">
          <cell r="C13" t="str">
            <v>乙酸丁酯</v>
          </cell>
          <cell r="D13">
            <v>591.12170410156295</v>
          </cell>
          <cell r="E13" t="str">
            <v>123-86-4</v>
          </cell>
          <cell r="F13">
            <v>2.1121242046356201</v>
          </cell>
        </row>
        <row r="14">
          <cell r="C14" t="str">
            <v>β-蒎烯</v>
          </cell>
          <cell r="D14">
            <v>67.232780456542997</v>
          </cell>
          <cell r="E14" t="str">
            <v>127-91-3</v>
          </cell>
          <cell r="F14">
            <v>0.54448549449443795</v>
          </cell>
        </row>
        <row r="15">
          <cell r="C15" t="str">
            <v>柠檬烯</v>
          </cell>
          <cell r="D15">
            <v>241.08776855468699</v>
          </cell>
          <cell r="E15" t="str">
            <v>138-86-3</v>
          </cell>
          <cell r="F15">
            <v>2.1708409786224401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508.73669433593801</v>
          </cell>
          <cell r="E2" t="str">
            <v>124-40-3</v>
          </cell>
          <cell r="F2">
            <v>1.0476663112640401</v>
          </cell>
        </row>
        <row r="3">
          <cell r="C3" t="str">
            <v>丙醛</v>
          </cell>
          <cell r="D3">
            <v>57.497264862060497</v>
          </cell>
          <cell r="E3" t="str">
            <v>123-38-6</v>
          </cell>
          <cell r="F3">
            <v>13.632094860076901</v>
          </cell>
        </row>
        <row r="4">
          <cell r="C4" t="str">
            <v>异戊二烯</v>
          </cell>
          <cell r="D4">
            <v>13.4502563476562</v>
          </cell>
          <cell r="E4" t="str">
            <v>78-79-5</v>
          </cell>
          <cell r="F4">
            <v>0.69901448488235496</v>
          </cell>
        </row>
        <row r="5">
          <cell r="C5" t="str">
            <v>正丁醇</v>
          </cell>
          <cell r="D5">
            <v>1533.85888671875</v>
          </cell>
          <cell r="E5" t="str">
            <v>71-36-3</v>
          </cell>
          <cell r="F5">
            <v>30.518873214721701</v>
          </cell>
        </row>
        <row r="6">
          <cell r="C6" t="str">
            <v>丙烯酸乙酯</v>
          </cell>
          <cell r="D6">
            <v>35.509124755859403</v>
          </cell>
          <cell r="E6" t="str">
            <v>140-88-5</v>
          </cell>
          <cell r="F6">
            <v>0.180023208260536</v>
          </cell>
        </row>
        <row r="7">
          <cell r="C7" t="str">
            <v>乙酸丁酯</v>
          </cell>
          <cell r="D7">
            <v>515.73529052734398</v>
          </cell>
          <cell r="E7" t="str">
            <v>123-86-4</v>
          </cell>
          <cell r="F7">
            <v>1.6083015203476001</v>
          </cell>
        </row>
        <row r="8">
          <cell r="C8" t="str">
            <v>β-蒎烯</v>
          </cell>
          <cell r="D8">
            <v>11.9057168960571</v>
          </cell>
          <cell r="E8" t="str">
            <v>127-91-3</v>
          </cell>
          <cell r="F8">
            <v>4.8604533076286302E-2</v>
          </cell>
        </row>
        <row r="9">
          <cell r="C9" t="str">
            <v>柠檬烯</v>
          </cell>
          <cell r="D9">
            <v>356.10659790039102</v>
          </cell>
          <cell r="E9" t="str">
            <v>138-86-3</v>
          </cell>
          <cell r="F9">
            <v>2.7985363006591801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2212.3369140625</v>
          </cell>
          <cell r="E2" t="str">
            <v>124-40-3</v>
          </cell>
          <cell r="F2">
            <v>3.4786248207092298</v>
          </cell>
        </row>
        <row r="3">
          <cell r="C3" t="str">
            <v>丙醛</v>
          </cell>
          <cell r="D3">
            <v>264.16583251953102</v>
          </cell>
          <cell r="E3" t="str">
            <v>123-38-6</v>
          </cell>
          <cell r="F3">
            <v>25.699659347534201</v>
          </cell>
        </row>
        <row r="4">
          <cell r="C4" t="str">
            <v>异丁醛</v>
          </cell>
          <cell r="D4">
            <v>106.142929077148</v>
          </cell>
          <cell r="E4" t="str">
            <v>78-84-2</v>
          </cell>
          <cell r="F4">
            <v>13.257971763610801</v>
          </cell>
        </row>
        <row r="5">
          <cell r="C5" t="str">
            <v>正丁醛</v>
          </cell>
          <cell r="D5">
            <v>4042.32885742188</v>
          </cell>
          <cell r="E5" t="str">
            <v>123-72-8</v>
          </cell>
          <cell r="F5">
            <v>201.68531799316401</v>
          </cell>
        </row>
        <row r="6">
          <cell r="C6" t="str">
            <v>异丁醇</v>
          </cell>
          <cell r="D6">
            <v>8583.4287109375</v>
          </cell>
          <cell r="E6" t="str">
            <v>78-83-1</v>
          </cell>
          <cell r="F6">
            <v>61.303829193115199</v>
          </cell>
        </row>
        <row r="7">
          <cell r="C7" t="str">
            <v>异戊醛</v>
          </cell>
          <cell r="D7">
            <v>258.37936401367199</v>
          </cell>
          <cell r="E7" t="str">
            <v>590-86-3</v>
          </cell>
          <cell r="F7">
            <v>7.7532210350036603</v>
          </cell>
        </row>
        <row r="8">
          <cell r="C8" t="str">
            <v>正丁醇</v>
          </cell>
          <cell r="D8">
            <v>525.81384277343795</v>
          </cell>
          <cell r="E8" t="str">
            <v>71-36-3</v>
          </cell>
          <cell r="F8">
            <v>14.751669883728001</v>
          </cell>
        </row>
        <row r="9">
          <cell r="C9" t="str">
            <v>丙烯酸乙酯</v>
          </cell>
          <cell r="D9">
            <v>170.19795227050801</v>
          </cell>
          <cell r="E9" t="str">
            <v>140-88-5</v>
          </cell>
          <cell r="F9">
            <v>1.30258333683014</v>
          </cell>
        </row>
        <row r="10">
          <cell r="C10" t="str">
            <v>乙酸异丁酯</v>
          </cell>
          <cell r="D10">
            <v>209.75537109375</v>
          </cell>
          <cell r="E10" t="str">
            <v>110-19-0</v>
          </cell>
          <cell r="F10">
            <v>0.39379444718360901</v>
          </cell>
        </row>
        <row r="11">
          <cell r="C11" t="str">
            <v>乙酸丁酯</v>
          </cell>
          <cell r="D11">
            <v>621.7373046875</v>
          </cell>
          <cell r="E11" t="str">
            <v>123-86-4</v>
          </cell>
          <cell r="F11">
            <v>1.4803824424743699</v>
          </cell>
        </row>
        <row r="12">
          <cell r="C12" t="str">
            <v>β-蒎烯</v>
          </cell>
          <cell r="D12">
            <v>41.641586303710902</v>
          </cell>
          <cell r="E12" t="str">
            <v>127-91-3</v>
          </cell>
          <cell r="F12">
            <v>0.12980005145072901</v>
          </cell>
        </row>
        <row r="13">
          <cell r="C13" t="str">
            <v>柠檬烯</v>
          </cell>
          <cell r="D13">
            <v>156.222579956055</v>
          </cell>
          <cell r="E13" t="str">
            <v>138-86-3</v>
          </cell>
          <cell r="F13">
            <v>0.937391698360443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3543.60205078125</v>
          </cell>
          <cell r="E2" t="str">
            <v>124-40-3</v>
          </cell>
          <cell r="F2">
            <v>4.4542789459228498</v>
          </cell>
        </row>
        <row r="3">
          <cell r="C3" t="str">
            <v>丙醛</v>
          </cell>
          <cell r="D3">
            <v>328.14202880859398</v>
          </cell>
          <cell r="E3" t="str">
            <v>123-38-6</v>
          </cell>
          <cell r="F3">
            <v>25.520473480224599</v>
          </cell>
        </row>
        <row r="4">
          <cell r="C4" t="str">
            <v>异丁醛</v>
          </cell>
          <cell r="D4">
            <v>25.2061958312988</v>
          </cell>
          <cell r="E4" t="str">
            <v>78-84-2</v>
          </cell>
          <cell r="F4">
            <v>2.5169203281402601</v>
          </cell>
        </row>
        <row r="5">
          <cell r="C5" t="str">
            <v>正丁醛</v>
          </cell>
          <cell r="D5">
            <v>5032.9970703125</v>
          </cell>
          <cell r="E5" t="str">
            <v>123-72-8</v>
          </cell>
          <cell r="F5">
            <v>200.74533081054699</v>
          </cell>
        </row>
        <row r="6">
          <cell r="C6" t="str">
            <v>异丁醇</v>
          </cell>
          <cell r="D6">
            <v>10945.26171875</v>
          </cell>
          <cell r="E6" t="str">
            <v>78-83-1</v>
          </cell>
          <cell r="F6">
            <v>62.492668151855497</v>
          </cell>
        </row>
        <row r="7">
          <cell r="C7" t="str">
            <v>异戊醛</v>
          </cell>
          <cell r="D7">
            <v>202.95088195800801</v>
          </cell>
          <cell r="E7" t="str">
            <v>590-86-3</v>
          </cell>
          <cell r="F7">
            <v>5.21046710014343</v>
          </cell>
        </row>
        <row r="8">
          <cell r="C8" t="str">
            <v>正丁醇</v>
          </cell>
          <cell r="D8">
            <v>2688.3251953125</v>
          </cell>
          <cell r="E8" t="str">
            <v>71-36-3</v>
          </cell>
          <cell r="F8">
            <v>24.162216186523398</v>
          </cell>
        </row>
        <row r="9">
          <cell r="C9" t="str">
            <v>丙烯酸乙酯</v>
          </cell>
          <cell r="D9">
            <v>216.882080078125</v>
          </cell>
          <cell r="E9" t="str">
            <v>140-88-5</v>
          </cell>
          <cell r="F9">
            <v>1.26537781953812</v>
          </cell>
        </row>
        <row r="10">
          <cell r="C10" t="str">
            <v>甲基丙烯酸甲酯</v>
          </cell>
          <cell r="D10">
            <v>71.259780883789105</v>
          </cell>
          <cell r="E10" t="str">
            <v>80-62-6</v>
          </cell>
          <cell r="F10">
            <v>0.65074265003204301</v>
          </cell>
        </row>
        <row r="11">
          <cell r="C11" t="str">
            <v>乙酸异丁酯</v>
          </cell>
          <cell r="D11">
            <v>416.45187377929699</v>
          </cell>
          <cell r="E11" t="str">
            <v>110-19-0</v>
          </cell>
          <cell r="F11">
            <v>0.625025033950806</v>
          </cell>
        </row>
        <row r="12">
          <cell r="C12" t="str">
            <v>乙酸丁酯</v>
          </cell>
          <cell r="D12">
            <v>735.12567138671898</v>
          </cell>
          <cell r="E12" t="str">
            <v>123-86-4</v>
          </cell>
          <cell r="F12">
            <v>1.39928030967712</v>
          </cell>
        </row>
        <row r="13">
          <cell r="C13" t="str">
            <v>α-蒎烯</v>
          </cell>
          <cell r="D13">
            <v>1307.3056640625</v>
          </cell>
          <cell r="E13" t="str">
            <v>80-56-8</v>
          </cell>
          <cell r="F13">
            <v>2.3379275798797599</v>
          </cell>
        </row>
        <row r="14">
          <cell r="C14" t="str">
            <v>β-蒎烯</v>
          </cell>
          <cell r="D14">
            <v>31.9777927398682</v>
          </cell>
          <cell r="E14" t="str">
            <v>127-91-3</v>
          </cell>
          <cell r="F14">
            <v>7.9684205353259999E-2</v>
          </cell>
        </row>
        <row r="15">
          <cell r="C15" t="str">
            <v>柠檬烯</v>
          </cell>
          <cell r="D15">
            <v>95.372100830078097</v>
          </cell>
          <cell r="E15" t="str">
            <v>138-86-3</v>
          </cell>
          <cell r="F15">
            <v>0.45748281478881803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1034.13195800781</v>
          </cell>
          <cell r="E2" t="str">
            <v>124-40-3</v>
          </cell>
          <cell r="F2">
            <v>1.6067575216293299</v>
          </cell>
        </row>
        <row r="3">
          <cell r="C3" t="str">
            <v>丙醛</v>
          </cell>
          <cell r="D3">
            <v>325.39871215820301</v>
          </cell>
          <cell r="E3" t="str">
            <v>123-38-6</v>
          </cell>
          <cell r="F3">
            <v>31.281288146972699</v>
          </cell>
        </row>
        <row r="4">
          <cell r="C4" t="str">
            <v>异丁醛</v>
          </cell>
          <cell r="D4">
            <v>106.06414031982401</v>
          </cell>
          <cell r="E4" t="str">
            <v>78-84-2</v>
          </cell>
          <cell r="F4">
            <v>13.090994834899901</v>
          </cell>
        </row>
        <row r="5">
          <cell r="C5" t="str">
            <v>异丁醇</v>
          </cell>
          <cell r="D5">
            <v>886.20867919921898</v>
          </cell>
          <cell r="E5" t="str">
            <v>78-83-1</v>
          </cell>
          <cell r="F5">
            <v>6.2543311119079599</v>
          </cell>
        </row>
        <row r="6">
          <cell r="C6" t="str">
            <v>异戊醛</v>
          </cell>
          <cell r="D6">
            <v>111.47478485107401</v>
          </cell>
          <cell r="E6" t="str">
            <v>590-86-3</v>
          </cell>
          <cell r="F6">
            <v>1.6682002544403101</v>
          </cell>
        </row>
        <row r="7">
          <cell r="C7" t="str">
            <v>正丁醇</v>
          </cell>
          <cell r="D7">
            <v>3416.36865234375</v>
          </cell>
          <cell r="E7" t="str">
            <v>71-36-3</v>
          </cell>
          <cell r="F7">
            <v>37.954357147216797</v>
          </cell>
        </row>
        <row r="8">
          <cell r="C8" t="str">
            <v>丙烯酸乙酯</v>
          </cell>
          <cell r="D8">
            <v>107.48274230957</v>
          </cell>
          <cell r="E8" t="str">
            <v>140-88-5</v>
          </cell>
          <cell r="F8">
            <v>0.41112291812896701</v>
          </cell>
        </row>
        <row r="9">
          <cell r="C9" t="str">
            <v>甲基丙烯酸甲酯</v>
          </cell>
          <cell r="D9">
            <v>84.0513916015625</v>
          </cell>
          <cell r="E9" t="str">
            <v>80-62-6</v>
          </cell>
          <cell r="F9">
            <v>0.94874966144561801</v>
          </cell>
        </row>
        <row r="10">
          <cell r="C10" t="str">
            <v>乙酸异丁酯</v>
          </cell>
          <cell r="D10">
            <v>219.55107116699199</v>
          </cell>
          <cell r="E10" t="str">
            <v>110-19-0</v>
          </cell>
          <cell r="F10">
            <v>0.407295972108841</v>
          </cell>
        </row>
        <row r="11">
          <cell r="C11" t="str">
            <v>乙酸丁酯</v>
          </cell>
          <cell r="D11">
            <v>834.033447265625</v>
          </cell>
          <cell r="E11" t="str">
            <v>123-86-4</v>
          </cell>
          <cell r="F11">
            <v>1.96231412887573</v>
          </cell>
        </row>
        <row r="12">
          <cell r="C12" t="str">
            <v>柠檬烯</v>
          </cell>
          <cell r="D12">
            <v>69.582839965820298</v>
          </cell>
          <cell r="E12" t="str">
            <v>138-86-3</v>
          </cell>
          <cell r="F12">
            <v>0.412569880485535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1853.1552734375</v>
          </cell>
          <cell r="E2" t="str">
            <v>124-40-3</v>
          </cell>
          <cell r="F2">
            <v>3.1800658702850302</v>
          </cell>
        </row>
        <row r="3">
          <cell r="C3" t="str">
            <v>丙醛</v>
          </cell>
          <cell r="D3">
            <v>340.51144409179699</v>
          </cell>
          <cell r="E3" t="str">
            <v>123-38-6</v>
          </cell>
          <cell r="F3">
            <v>36.153507232666001</v>
          </cell>
        </row>
        <row r="4">
          <cell r="C4" t="str">
            <v>异丁醛</v>
          </cell>
          <cell r="D4">
            <v>92.068344116210895</v>
          </cell>
          <cell r="E4" t="str">
            <v>78-84-2</v>
          </cell>
          <cell r="F4">
            <v>12.550595283508301</v>
          </cell>
        </row>
        <row r="5">
          <cell r="C5" t="str">
            <v>异丁醇</v>
          </cell>
          <cell r="D5">
            <v>334.43606567382801</v>
          </cell>
          <cell r="E5" t="str">
            <v>78-83-1</v>
          </cell>
          <cell r="F5">
            <v>5.6096920967102104</v>
          </cell>
        </row>
        <row r="6">
          <cell r="C6" t="str">
            <v>异戊醛</v>
          </cell>
          <cell r="D6">
            <v>148.14248657226599</v>
          </cell>
          <cell r="E6" t="str">
            <v>590-86-3</v>
          </cell>
          <cell r="F6">
            <v>9.6665799617767298</v>
          </cell>
        </row>
        <row r="7">
          <cell r="C7" t="str">
            <v>正丁醇</v>
          </cell>
          <cell r="D7">
            <v>1740.93981933594</v>
          </cell>
          <cell r="E7" t="str">
            <v>71-36-3</v>
          </cell>
          <cell r="F7">
            <v>21.361442565918001</v>
          </cell>
        </row>
        <row r="8">
          <cell r="C8" t="str">
            <v>丙烯酸乙酯</v>
          </cell>
          <cell r="D8">
            <v>270.39654541015602</v>
          </cell>
          <cell r="E8" t="str">
            <v>140-88-5</v>
          </cell>
          <cell r="F8">
            <v>2.05702084302902</v>
          </cell>
        </row>
        <row r="9">
          <cell r="C9" t="str">
            <v>乙酸异丁酯</v>
          </cell>
          <cell r="D9">
            <v>195.53854370117199</v>
          </cell>
          <cell r="E9" t="str">
            <v>110-19-0</v>
          </cell>
          <cell r="F9">
            <v>0.40064233541488598</v>
          </cell>
        </row>
        <row r="10">
          <cell r="C10" t="str">
            <v>乙酸丁酯</v>
          </cell>
          <cell r="D10">
            <v>606.18884277343795</v>
          </cell>
          <cell r="E10" t="str">
            <v>123-86-4</v>
          </cell>
          <cell r="F10">
            <v>1.5752261877059901</v>
          </cell>
        </row>
        <row r="11">
          <cell r="C11" t="str">
            <v>α-蒎烯</v>
          </cell>
          <cell r="D11">
            <v>644.48815917968795</v>
          </cell>
          <cell r="E11" t="str">
            <v>80-56-8</v>
          </cell>
          <cell r="F11">
            <v>2.9584919214248702</v>
          </cell>
        </row>
        <row r="12">
          <cell r="C12" t="str">
            <v>柠檬烯</v>
          </cell>
          <cell r="D12">
            <v>24.632543563842798</v>
          </cell>
          <cell r="E12" t="str">
            <v>138-86-3</v>
          </cell>
          <cell r="F12">
            <v>0.540691658854485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丙醛</v>
          </cell>
          <cell r="D2">
            <v>236.732986450195</v>
          </cell>
          <cell r="E2" t="str">
            <v>123-38-6</v>
          </cell>
          <cell r="F2">
            <v>23.363052368164102</v>
          </cell>
        </row>
        <row r="3">
          <cell r="C3" t="str">
            <v>二甲胺</v>
          </cell>
          <cell r="D3">
            <v>1893.87377929687</v>
          </cell>
          <cell r="E3" t="str">
            <v>124-40-3</v>
          </cell>
          <cell r="F3">
            <v>3.0208377838134801</v>
          </cell>
        </row>
        <row r="4">
          <cell r="C4" t="str">
            <v>异丁醛</v>
          </cell>
          <cell r="D4">
            <v>41.410999298095703</v>
          </cell>
          <cell r="E4" t="str">
            <v>78-84-2</v>
          </cell>
          <cell r="F4">
            <v>5.2471294403076199</v>
          </cell>
        </row>
        <row r="5">
          <cell r="C5" t="str">
            <v>异丁醇</v>
          </cell>
          <cell r="D5">
            <v>316.05038452148398</v>
          </cell>
          <cell r="E5" t="str">
            <v>78-83-1</v>
          </cell>
          <cell r="F5">
            <v>3.6422547101974501</v>
          </cell>
        </row>
        <row r="6">
          <cell r="C6" t="str">
            <v>异戊醛</v>
          </cell>
          <cell r="D6">
            <v>404.01315307617199</v>
          </cell>
          <cell r="E6" t="str">
            <v>590-86-3</v>
          </cell>
          <cell r="F6">
            <v>6.2068185806274396</v>
          </cell>
        </row>
        <row r="7">
          <cell r="C7" t="str">
            <v>正丁醇</v>
          </cell>
          <cell r="D7">
            <v>4989.19140625</v>
          </cell>
          <cell r="E7" t="str">
            <v>71-36-3</v>
          </cell>
          <cell r="F7">
            <v>56.902198791503899</v>
          </cell>
        </row>
        <row r="8">
          <cell r="C8" t="str">
            <v>丙烯酸乙酯</v>
          </cell>
          <cell r="D8">
            <v>70.755485534667997</v>
          </cell>
          <cell r="E8" t="str">
            <v>140-88-5</v>
          </cell>
          <cell r="F8">
            <v>0.52424068748951003</v>
          </cell>
        </row>
        <row r="9">
          <cell r="C9" t="str">
            <v>乙酸异丁酯</v>
          </cell>
          <cell r="D9">
            <v>248.17771911621099</v>
          </cell>
          <cell r="E9" t="str">
            <v>110-19-0</v>
          </cell>
          <cell r="F9">
            <v>0.74547648429870605</v>
          </cell>
        </row>
        <row r="10">
          <cell r="C10" t="str">
            <v>乙酸丁酯</v>
          </cell>
          <cell r="D10">
            <v>657.65612792968795</v>
          </cell>
          <cell r="E10" t="str">
            <v>123-86-4</v>
          </cell>
          <cell r="F10">
            <v>1.5884952545166</v>
          </cell>
        </row>
        <row r="11">
          <cell r="C11" t="str">
            <v>β-蒎烯</v>
          </cell>
          <cell r="D11">
            <v>105.439735412598</v>
          </cell>
          <cell r="E11" t="str">
            <v>127-91-3</v>
          </cell>
          <cell r="F11">
            <v>0.33340489864349399</v>
          </cell>
        </row>
        <row r="12">
          <cell r="C12" t="str">
            <v>柠檬烯</v>
          </cell>
          <cell r="D12">
            <v>120.464630126953</v>
          </cell>
          <cell r="E12" t="str">
            <v>138-86-3</v>
          </cell>
          <cell r="F12">
            <v>1.4887257218360901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1753.24560546875</v>
          </cell>
          <cell r="E2" t="str">
            <v>124-40-3</v>
          </cell>
          <cell r="F2">
            <v>2.8074481487274201</v>
          </cell>
        </row>
        <row r="3">
          <cell r="C3" t="str">
            <v>丙醛</v>
          </cell>
          <cell r="D3">
            <v>242.441482543945</v>
          </cell>
          <cell r="E3" t="str">
            <v>123-38-6</v>
          </cell>
          <cell r="F3">
            <v>24.019853591918899</v>
          </cell>
        </row>
        <row r="4">
          <cell r="C4" t="str">
            <v>异丁醛</v>
          </cell>
          <cell r="D4">
            <v>39.082794189453097</v>
          </cell>
          <cell r="E4" t="str">
            <v>78-84-2</v>
          </cell>
          <cell r="F4">
            <v>4.9714641571044904</v>
          </cell>
        </row>
        <row r="5">
          <cell r="C5" t="str">
            <v>正丁醛</v>
          </cell>
          <cell r="D5">
            <v>3501.41845703125</v>
          </cell>
          <cell r="E5" t="str">
            <v>123-72-8</v>
          </cell>
          <cell r="F5">
            <v>177.90957641601599</v>
          </cell>
        </row>
        <row r="6">
          <cell r="C6" t="str">
            <v>异丁醇</v>
          </cell>
          <cell r="D6">
            <v>298.20404052734398</v>
          </cell>
          <cell r="E6" t="str">
            <v>78-83-1</v>
          </cell>
          <cell r="F6">
            <v>5.5517590045928999</v>
          </cell>
        </row>
        <row r="7">
          <cell r="C7" t="str">
            <v>异戊醛</v>
          </cell>
          <cell r="D7">
            <v>325.81945800781301</v>
          </cell>
          <cell r="E7" t="str">
            <v>590-86-3</v>
          </cell>
          <cell r="F7">
            <v>18.840699672698999</v>
          </cell>
        </row>
        <row r="8">
          <cell r="C8" t="str">
            <v>正丁醇</v>
          </cell>
          <cell r="D8">
            <v>4830.37841796875</v>
          </cell>
          <cell r="E8" t="str">
            <v>71-36-3</v>
          </cell>
          <cell r="F8">
            <v>55.306053161621101</v>
          </cell>
        </row>
        <row r="9">
          <cell r="C9" t="str">
            <v>丙烯酸乙酯</v>
          </cell>
          <cell r="D9">
            <v>82.394134521484403</v>
          </cell>
          <cell r="E9" t="str">
            <v>140-88-5</v>
          </cell>
          <cell r="F9">
            <v>0.32480588555335999</v>
          </cell>
        </row>
        <row r="10">
          <cell r="C10" t="str">
            <v>乙酸丁酯</v>
          </cell>
          <cell r="D10">
            <v>817.91802978515602</v>
          </cell>
          <cell r="E10" t="str">
            <v>123-86-4</v>
          </cell>
          <cell r="F10">
            <v>1.98330473899841</v>
          </cell>
        </row>
        <row r="11">
          <cell r="C11" t="str">
            <v>柠檬烯</v>
          </cell>
          <cell r="D11">
            <v>31.762712478637699</v>
          </cell>
          <cell r="E11" t="str">
            <v>138-86-3</v>
          </cell>
          <cell r="F11">
            <v>0.19409197568893399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3226.63500976563</v>
          </cell>
          <cell r="E2" t="str">
            <v>124-40-3</v>
          </cell>
          <cell r="F2">
            <v>4.5649290084838903</v>
          </cell>
        </row>
        <row r="3">
          <cell r="C3" t="str">
            <v>丙醛</v>
          </cell>
          <cell r="D3">
            <v>294.2783203125</v>
          </cell>
          <cell r="E3" t="str">
            <v>123-38-6</v>
          </cell>
          <cell r="F3">
            <v>25.759466171264599</v>
          </cell>
        </row>
        <row r="4">
          <cell r="C4" t="str">
            <v>异丁醛</v>
          </cell>
          <cell r="D4">
            <v>22.825525283813501</v>
          </cell>
          <cell r="E4" t="str">
            <v>78-84-2</v>
          </cell>
          <cell r="F4">
            <v>2.56527924537659</v>
          </cell>
        </row>
        <row r="5">
          <cell r="C5" t="str">
            <v>正丁醛</v>
          </cell>
          <cell r="D5">
            <v>1101.35424804687</v>
          </cell>
          <cell r="E5" t="str">
            <v>123-72-8</v>
          </cell>
          <cell r="F5">
            <v>49.442169189453097</v>
          </cell>
        </row>
        <row r="6">
          <cell r="C6" t="str">
            <v>异丁醇</v>
          </cell>
          <cell r="D6">
            <v>515.82849121093795</v>
          </cell>
          <cell r="E6" t="str">
            <v>78-83-1</v>
          </cell>
          <cell r="F6">
            <v>4.8615460395812997</v>
          </cell>
        </row>
        <row r="7">
          <cell r="C7" t="str">
            <v>异戊醛</v>
          </cell>
          <cell r="D7">
            <v>374.98345947265602</v>
          </cell>
          <cell r="E7" t="str">
            <v>590-86-3</v>
          </cell>
          <cell r="F7">
            <v>5.1096768379211399</v>
          </cell>
        </row>
        <row r="8">
          <cell r="C8" t="str">
            <v>正丁醇</v>
          </cell>
          <cell r="D8">
            <v>5462.654296875</v>
          </cell>
          <cell r="E8" t="str">
            <v>71-36-3</v>
          </cell>
          <cell r="F8">
            <v>55.259941101074197</v>
          </cell>
        </row>
        <row r="9">
          <cell r="C9" t="str">
            <v>丙烯酸乙酯</v>
          </cell>
          <cell r="D9">
            <v>1155.60046386719</v>
          </cell>
          <cell r="E9" t="str">
            <v>140-88-5</v>
          </cell>
          <cell r="F9">
            <v>8.11083936691284</v>
          </cell>
        </row>
        <row r="10">
          <cell r="C10" t="str">
            <v>乙酸异丁酯</v>
          </cell>
          <cell r="D10">
            <v>1412.15747070312</v>
          </cell>
          <cell r="E10" t="str">
            <v>110-19-0</v>
          </cell>
          <cell r="F10">
            <v>3.8569024801254299</v>
          </cell>
        </row>
        <row r="11">
          <cell r="C11" t="str">
            <v>乙酸丁酯</v>
          </cell>
          <cell r="D11">
            <v>475.84719848632801</v>
          </cell>
          <cell r="E11" t="str">
            <v>123-86-4</v>
          </cell>
          <cell r="F11">
            <v>1.01944160461426</v>
          </cell>
        </row>
        <row r="12">
          <cell r="C12" t="str">
            <v>柠檬烯</v>
          </cell>
          <cell r="D12">
            <v>21.974491119384801</v>
          </cell>
          <cell r="E12" t="str">
            <v>138-86-3</v>
          </cell>
          <cell r="F12">
            <v>0.33113037794828398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2033.45654296875</v>
          </cell>
          <cell r="E2" t="str">
            <v>124-40-3</v>
          </cell>
          <cell r="F2">
            <v>430.70504760742199</v>
          </cell>
        </row>
        <row r="3">
          <cell r="C3" t="str">
            <v>丙醛</v>
          </cell>
          <cell r="D3">
            <v>385.60226440429699</v>
          </cell>
          <cell r="E3" t="str">
            <v>123-38-6</v>
          </cell>
          <cell r="F3">
            <v>5053.34619140625</v>
          </cell>
        </row>
        <row r="4">
          <cell r="C4" t="str">
            <v>正丁醛</v>
          </cell>
          <cell r="D4">
            <v>303.33117675781301</v>
          </cell>
          <cell r="E4" t="str">
            <v>123-72-8</v>
          </cell>
          <cell r="F4">
            <v>2038.67700195312</v>
          </cell>
        </row>
        <row r="5">
          <cell r="C5" t="str">
            <v>异丁醇</v>
          </cell>
          <cell r="D5">
            <v>8691.1484375</v>
          </cell>
          <cell r="E5" t="str">
            <v>78-83-1</v>
          </cell>
          <cell r="F5">
            <v>8361.6640625</v>
          </cell>
        </row>
        <row r="6">
          <cell r="C6" t="str">
            <v>异戊醛</v>
          </cell>
          <cell r="D6">
            <v>181.34486389160199</v>
          </cell>
          <cell r="E6" t="str">
            <v>590-86-3</v>
          </cell>
          <cell r="F6">
            <v>369.95379638671898</v>
          </cell>
        </row>
        <row r="7">
          <cell r="C7" t="str">
            <v>正丁醇</v>
          </cell>
          <cell r="D7">
            <v>27142.994140625</v>
          </cell>
          <cell r="E7" t="str">
            <v>71-36-3</v>
          </cell>
          <cell r="F7">
            <v>41107.90234375</v>
          </cell>
        </row>
        <row r="8">
          <cell r="C8" t="str">
            <v>丙烯酸乙酯</v>
          </cell>
          <cell r="D8">
            <v>12252.1484375</v>
          </cell>
          <cell r="E8" t="str">
            <v>140-88-5</v>
          </cell>
          <cell r="F8">
            <v>11617.515625</v>
          </cell>
        </row>
        <row r="9">
          <cell r="C9" t="str">
            <v>乙酸异丁酯</v>
          </cell>
          <cell r="D9">
            <v>5635.861328125</v>
          </cell>
          <cell r="E9" t="str">
            <v>110-19-0</v>
          </cell>
          <cell r="F9">
            <v>1425.29748535156</v>
          </cell>
        </row>
        <row r="10">
          <cell r="C10" t="str">
            <v>乙酸丁酯</v>
          </cell>
          <cell r="D10">
            <v>650.87170410156295</v>
          </cell>
          <cell r="E10" t="str">
            <v>123-86-4</v>
          </cell>
          <cell r="F10">
            <v>379.27975463867199</v>
          </cell>
        </row>
        <row r="11">
          <cell r="C11" t="str">
            <v>α-蒎烯</v>
          </cell>
          <cell r="D11">
            <v>61.473892211914098</v>
          </cell>
          <cell r="E11" t="str">
            <v>80-56-8</v>
          </cell>
          <cell r="F11">
            <v>18.524959564208999</v>
          </cell>
        </row>
        <row r="12">
          <cell r="C12" t="str">
            <v>β-蒎烯</v>
          </cell>
          <cell r="D12">
            <v>114.249313354492</v>
          </cell>
          <cell r="E12" t="str">
            <v>127-91-3</v>
          </cell>
          <cell r="F12">
            <v>47.972236633300803</v>
          </cell>
        </row>
        <row r="13">
          <cell r="C13" t="str">
            <v>柠檬烯</v>
          </cell>
          <cell r="D13">
            <v>118.10105895996099</v>
          </cell>
          <cell r="E13" t="str">
            <v>138-86-3</v>
          </cell>
          <cell r="F13">
            <v>132.95786285400399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1771.35888671875</v>
          </cell>
          <cell r="E2" t="str">
            <v>124-40-3</v>
          </cell>
          <cell r="F2">
            <v>3.1260433197021502</v>
          </cell>
        </row>
        <row r="3">
          <cell r="C3" t="str">
            <v>丙醛</v>
          </cell>
          <cell r="D3">
            <v>235.31369018554699</v>
          </cell>
          <cell r="E3" t="str">
            <v>123-38-6</v>
          </cell>
          <cell r="F3">
            <v>25.6938991546631</v>
          </cell>
        </row>
        <row r="4">
          <cell r="C4" t="str">
            <v>正丁醛</v>
          </cell>
          <cell r="D4">
            <v>1135.05395507812</v>
          </cell>
          <cell r="E4" t="str">
            <v>123-72-8</v>
          </cell>
          <cell r="F4">
            <v>63.561077117919901</v>
          </cell>
        </row>
        <row r="5">
          <cell r="C5" t="str">
            <v>异丁醇</v>
          </cell>
          <cell r="D5">
            <v>417.69403076171898</v>
          </cell>
          <cell r="E5" t="str">
            <v>78-83-1</v>
          </cell>
          <cell r="F5">
            <v>3.34824442863464</v>
          </cell>
        </row>
        <row r="6">
          <cell r="C6" t="str">
            <v>正丁醇</v>
          </cell>
          <cell r="D6">
            <v>2513.59936523438</v>
          </cell>
          <cell r="E6" t="str">
            <v>71-36-3</v>
          </cell>
          <cell r="F6">
            <v>31.718086242675799</v>
          </cell>
        </row>
        <row r="7">
          <cell r="C7" t="str">
            <v>异戊醛</v>
          </cell>
          <cell r="D7">
            <v>289.983154296875</v>
          </cell>
          <cell r="E7" t="str">
            <v>590-86-3</v>
          </cell>
          <cell r="F7">
            <v>4.92899465560913</v>
          </cell>
        </row>
        <row r="8">
          <cell r="C8" t="str">
            <v>丙烯酸乙酯</v>
          </cell>
          <cell r="D8">
            <v>167.46363830566401</v>
          </cell>
          <cell r="E8" t="str">
            <v>140-88-5</v>
          </cell>
          <cell r="F8">
            <v>0.72755783796310403</v>
          </cell>
        </row>
        <row r="9">
          <cell r="C9" t="str">
            <v>乙酸丁酯</v>
          </cell>
          <cell r="D9">
            <v>911.024658203125</v>
          </cell>
          <cell r="E9" t="str">
            <v>123-86-4</v>
          </cell>
          <cell r="F9">
            <v>2.43460893630981</v>
          </cell>
        </row>
        <row r="10">
          <cell r="C10" t="str">
            <v>β-蒎烯</v>
          </cell>
          <cell r="D10">
            <v>38.118717193603501</v>
          </cell>
          <cell r="E10" t="str">
            <v>127-91-3</v>
          </cell>
          <cell r="F10">
            <v>0.133357673883438</v>
          </cell>
        </row>
        <row r="11">
          <cell r="C11" t="str">
            <v>柠檬烯</v>
          </cell>
          <cell r="D11">
            <v>47.8668403625488</v>
          </cell>
          <cell r="E11" t="str">
            <v>138-86-3</v>
          </cell>
          <cell r="F11">
            <v>0.32236224412918102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3312.0908203125</v>
          </cell>
          <cell r="E2" t="str">
            <v>124-40-3</v>
          </cell>
          <cell r="F2">
            <v>3.5444574356079102</v>
          </cell>
        </row>
        <row r="3">
          <cell r="C3" t="str">
            <v>丙醛</v>
          </cell>
          <cell r="D3">
            <v>245.68568420410199</v>
          </cell>
          <cell r="E3" t="str">
            <v>123-38-6</v>
          </cell>
          <cell r="F3">
            <v>26.717657089233398</v>
          </cell>
        </row>
        <row r="4">
          <cell r="C4" t="str">
            <v>异戊二烯</v>
          </cell>
          <cell r="D4">
            <v>25.753890991210898</v>
          </cell>
          <cell r="E4" t="str">
            <v>78-79-5</v>
          </cell>
          <cell r="F4">
            <v>0.69553035497665405</v>
          </cell>
        </row>
        <row r="5">
          <cell r="C5" t="str">
            <v>正丁醛</v>
          </cell>
          <cell r="D5">
            <v>1090.033203125</v>
          </cell>
          <cell r="E5" t="str">
            <v>123-72-8</v>
          </cell>
          <cell r="F5">
            <v>37.014644622802699</v>
          </cell>
        </row>
        <row r="6">
          <cell r="C6" t="str">
            <v>异丁醇</v>
          </cell>
          <cell r="D6">
            <v>143.551513671875</v>
          </cell>
          <cell r="E6" t="str">
            <v>78-83-1</v>
          </cell>
          <cell r="F6">
            <v>2.5617015361785902</v>
          </cell>
        </row>
        <row r="7">
          <cell r="C7" t="str">
            <v>异戊醛</v>
          </cell>
          <cell r="D7">
            <v>741.95416259765602</v>
          </cell>
          <cell r="E7" t="str">
            <v>590-86-3</v>
          </cell>
          <cell r="F7">
            <v>7.6475400924682599</v>
          </cell>
        </row>
        <row r="8">
          <cell r="C8" t="str">
            <v>正丁醇</v>
          </cell>
          <cell r="D8">
            <v>1427.54467773437</v>
          </cell>
          <cell r="E8" t="str">
            <v>71-36-3</v>
          </cell>
          <cell r="F8">
            <v>10.923448562622101</v>
          </cell>
        </row>
        <row r="9">
          <cell r="C9" t="str">
            <v>丙烯酸乙酯</v>
          </cell>
          <cell r="D9">
            <v>404.35064697265602</v>
          </cell>
          <cell r="E9" t="str">
            <v>140-88-5</v>
          </cell>
          <cell r="F9">
            <v>1.6504628062248199</v>
          </cell>
        </row>
        <row r="10">
          <cell r="C10" t="str">
            <v>乙酸异丁酯</v>
          </cell>
          <cell r="D10">
            <v>317.885986328125</v>
          </cell>
          <cell r="E10" t="str">
            <v>110-19-0</v>
          </cell>
          <cell r="F10">
            <v>0.61699704825878099</v>
          </cell>
        </row>
        <row r="11">
          <cell r="C11" t="str">
            <v>乙酸丁酯</v>
          </cell>
          <cell r="D11">
            <v>213.63714599609401</v>
          </cell>
          <cell r="E11" t="str">
            <v>123-86-4</v>
          </cell>
          <cell r="F11">
            <v>1.08967649936676</v>
          </cell>
        </row>
        <row r="12">
          <cell r="C12" t="str">
            <v>α-蒎烯</v>
          </cell>
          <cell r="D12">
            <v>34.055065155029297</v>
          </cell>
          <cell r="E12" t="str">
            <v>80-56-8</v>
          </cell>
          <cell r="F12">
            <v>9.7112275660037994E-2</v>
          </cell>
        </row>
        <row r="13">
          <cell r="C13" t="str">
            <v>β-蒎烯</v>
          </cell>
          <cell r="D13">
            <v>15.787031173706101</v>
          </cell>
          <cell r="E13" t="str">
            <v>127-91-3</v>
          </cell>
          <cell r="F13">
            <v>6.3308866694569602E-2</v>
          </cell>
        </row>
        <row r="14">
          <cell r="C14" t="str">
            <v>柠檬烯</v>
          </cell>
          <cell r="D14">
            <v>18.417940139770501</v>
          </cell>
          <cell r="E14" t="str">
            <v>138-86-3</v>
          </cell>
          <cell r="F14">
            <v>0.22581183165311799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1206.33056640625</v>
          </cell>
          <cell r="E2" t="str">
            <v>124-40-3</v>
          </cell>
          <cell r="F2">
            <v>2.00526022911072</v>
          </cell>
        </row>
        <row r="3">
          <cell r="C3" t="str">
            <v>丙醛</v>
          </cell>
          <cell r="D3">
            <v>268.24685668945301</v>
          </cell>
          <cell r="E3" t="str">
            <v>123-38-6</v>
          </cell>
          <cell r="F3">
            <v>27.588840484619102</v>
          </cell>
        </row>
        <row r="4">
          <cell r="C4" t="str">
            <v>正丁醛</v>
          </cell>
          <cell r="D4">
            <v>1553.86328125</v>
          </cell>
          <cell r="E4" t="str">
            <v>123-72-8</v>
          </cell>
          <cell r="F4">
            <v>81.960296630859403</v>
          </cell>
        </row>
        <row r="5">
          <cell r="C5" t="str">
            <v>异丁醇</v>
          </cell>
          <cell r="D5">
            <v>238.18460083007801</v>
          </cell>
          <cell r="E5" t="str">
            <v>78-83-1</v>
          </cell>
          <cell r="F5">
            <v>3.5035343170165998</v>
          </cell>
        </row>
        <row r="6">
          <cell r="C6" t="str">
            <v>正丁醇</v>
          </cell>
          <cell r="D6">
            <v>4083.685546875</v>
          </cell>
          <cell r="E6" t="str">
            <v>71-36-3</v>
          </cell>
          <cell r="F6">
            <v>48.5377006530762</v>
          </cell>
        </row>
        <row r="7">
          <cell r="C7" t="str">
            <v>异戊醛</v>
          </cell>
          <cell r="D7">
            <v>191.501541137695</v>
          </cell>
          <cell r="E7" t="str">
            <v>590-86-3</v>
          </cell>
          <cell r="F7">
            <v>5.4298355579376203</v>
          </cell>
        </row>
        <row r="8">
          <cell r="C8" t="str">
            <v>正戊醛</v>
          </cell>
          <cell r="D8">
            <v>137.670654296875</v>
          </cell>
          <cell r="E8" t="str">
            <v>110-62-3</v>
          </cell>
          <cell r="F8">
            <v>0.43680152297019997</v>
          </cell>
        </row>
        <row r="9">
          <cell r="C9" t="str">
            <v>乙酸丁酯</v>
          </cell>
          <cell r="D9">
            <v>920.08508300781295</v>
          </cell>
          <cell r="E9" t="str">
            <v>123-86-4</v>
          </cell>
          <cell r="F9">
            <v>2.3160240650177002</v>
          </cell>
        </row>
        <row r="10">
          <cell r="C10" t="str">
            <v>柠檬烯</v>
          </cell>
          <cell r="D10">
            <v>34.422145843505902</v>
          </cell>
          <cell r="E10" t="str">
            <v>138-86-3</v>
          </cell>
          <cell r="F10">
            <v>0.21835508942604101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744.26330566406295</v>
          </cell>
          <cell r="E2" t="str">
            <v>124-40-3</v>
          </cell>
          <cell r="F2">
            <v>1.4277307987213099</v>
          </cell>
        </row>
        <row r="3">
          <cell r="C3" t="str">
            <v>丙醛</v>
          </cell>
          <cell r="D3">
            <v>195.27976989746099</v>
          </cell>
          <cell r="E3" t="str">
            <v>123-38-6</v>
          </cell>
          <cell r="F3">
            <v>23.177755355835</v>
          </cell>
        </row>
        <row r="4">
          <cell r="C4" t="str">
            <v>异丁醛</v>
          </cell>
          <cell r="D4">
            <v>74.089508056640597</v>
          </cell>
          <cell r="E4" t="str">
            <v>78-84-2</v>
          </cell>
          <cell r="F4">
            <v>11.290316581726101</v>
          </cell>
        </row>
        <row r="5">
          <cell r="C5" t="str">
            <v>异丁醇</v>
          </cell>
          <cell r="D5">
            <v>840.05908203125</v>
          </cell>
          <cell r="E5" t="str">
            <v>78-83-1</v>
          </cell>
          <cell r="F5">
            <v>9.9441173076629603</v>
          </cell>
        </row>
        <row r="6">
          <cell r="C6" t="str">
            <v>正丁醇</v>
          </cell>
          <cell r="D6">
            <v>4028.59497070313</v>
          </cell>
          <cell r="E6" t="str">
            <v>71-36-3</v>
          </cell>
          <cell r="F6">
            <v>55.258083343505902</v>
          </cell>
        </row>
        <row r="7">
          <cell r="C7" t="str">
            <v>异戊醛</v>
          </cell>
          <cell r="D7">
            <v>261.53793334960898</v>
          </cell>
          <cell r="E7" t="str">
            <v>590-86-3</v>
          </cell>
          <cell r="F7">
            <v>8.1000306606292707</v>
          </cell>
        </row>
        <row r="8">
          <cell r="C8" t="str">
            <v>乙酸丁酯</v>
          </cell>
          <cell r="D8">
            <v>942.22515869140602</v>
          </cell>
          <cell r="E8" t="str">
            <v>123-86-4</v>
          </cell>
          <cell r="F8">
            <v>2.7370648384094198</v>
          </cell>
        </row>
        <row r="9">
          <cell r="C9" t="str">
            <v>柠檬烯</v>
          </cell>
          <cell r="D9">
            <v>34.936439514160199</v>
          </cell>
          <cell r="E9" t="str">
            <v>138-86-3</v>
          </cell>
          <cell r="F9">
            <v>0.25575217604637102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606.131103515625</v>
          </cell>
          <cell r="E2" t="str">
            <v>124-40-3</v>
          </cell>
          <cell r="F2">
            <v>3.6420845389366101</v>
          </cell>
        </row>
        <row r="3">
          <cell r="C3" t="str">
            <v>丙醛</v>
          </cell>
          <cell r="D3">
            <v>699.635498046875</v>
          </cell>
          <cell r="E3" t="str">
            <v>123-38-6</v>
          </cell>
          <cell r="F3">
            <v>69.758636474609403</v>
          </cell>
        </row>
        <row r="4">
          <cell r="C4" t="str">
            <v>异丁醛</v>
          </cell>
          <cell r="D4">
            <v>202.61180114746099</v>
          </cell>
          <cell r="E4" t="str">
            <v>78-84-2</v>
          </cell>
          <cell r="F4">
            <v>25.937383651733398</v>
          </cell>
        </row>
        <row r="5">
          <cell r="C5" t="str">
            <v>正丁醛</v>
          </cell>
          <cell r="D5">
            <v>2154.75366210938</v>
          </cell>
          <cell r="E5" t="str">
            <v>123-72-8</v>
          </cell>
          <cell r="F5">
            <v>110.18327331543</v>
          </cell>
        </row>
        <row r="6">
          <cell r="C6" t="str">
            <v>异丁醇</v>
          </cell>
          <cell r="D6">
            <v>163.069580078125</v>
          </cell>
          <cell r="E6" t="str">
            <v>78-83-1</v>
          </cell>
          <cell r="F6">
            <v>2.90727722644806</v>
          </cell>
        </row>
        <row r="7">
          <cell r="C7" t="str">
            <v>异戊醛</v>
          </cell>
          <cell r="D7">
            <v>345.69372558593801</v>
          </cell>
          <cell r="E7" t="str">
            <v>590-86-3</v>
          </cell>
          <cell r="F7">
            <v>7.1062985658645603</v>
          </cell>
        </row>
        <row r="8">
          <cell r="C8" t="str">
            <v>正丁醇</v>
          </cell>
          <cell r="D8">
            <v>3742.58862304688</v>
          </cell>
          <cell r="E8" t="str">
            <v>71-36-3</v>
          </cell>
          <cell r="F8">
            <v>43.124725341796903</v>
          </cell>
        </row>
        <row r="9">
          <cell r="C9" t="str">
            <v>丙烯酸乙酯</v>
          </cell>
          <cell r="D9">
            <v>116.18344879150401</v>
          </cell>
          <cell r="E9" t="str">
            <v>140-88-5</v>
          </cell>
          <cell r="F9">
            <v>1.2835443019866899</v>
          </cell>
        </row>
        <row r="10">
          <cell r="C10" t="str">
            <v>乙酸异丁酯</v>
          </cell>
          <cell r="D10">
            <v>296.83035278320301</v>
          </cell>
          <cell r="E10" t="str">
            <v>110-19-0</v>
          </cell>
          <cell r="F10">
            <v>0.874610096216202</v>
          </cell>
        </row>
        <row r="11">
          <cell r="C11" t="str">
            <v>乙酸丁酯</v>
          </cell>
          <cell r="D11">
            <v>469.09555053710898</v>
          </cell>
          <cell r="E11" t="str">
            <v>123-86-4</v>
          </cell>
          <cell r="F11">
            <v>1.14473176002502</v>
          </cell>
        </row>
        <row r="12">
          <cell r="C12" t="str">
            <v>α-蒎烯</v>
          </cell>
          <cell r="D12">
            <v>42.219474792480497</v>
          </cell>
          <cell r="E12" t="str">
            <v>80-56-8</v>
          </cell>
          <cell r="F12">
            <v>9.6797920763492598E-2</v>
          </cell>
        </row>
        <row r="13">
          <cell r="C13" t="str">
            <v>柠檬烯</v>
          </cell>
          <cell r="D13">
            <v>250.52084350585901</v>
          </cell>
          <cell r="E13" t="str">
            <v>138-86-3</v>
          </cell>
          <cell r="F13">
            <v>1.5406237840652499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4393.40625</v>
          </cell>
          <cell r="E2" t="str">
            <v>124-40-3</v>
          </cell>
          <cell r="F2">
            <v>6.7037210464477504</v>
          </cell>
        </row>
        <row r="3">
          <cell r="C3" t="str">
            <v>丙醛</v>
          </cell>
          <cell r="D3">
            <v>360.55072021484398</v>
          </cell>
          <cell r="E3" t="str">
            <v>123-38-6</v>
          </cell>
          <cell r="F3">
            <v>34.038887023925803</v>
          </cell>
        </row>
        <row r="4">
          <cell r="C4" t="str">
            <v>异丁醛</v>
          </cell>
          <cell r="D4">
            <v>79.889579772949205</v>
          </cell>
          <cell r="E4" t="str">
            <v>78-84-2</v>
          </cell>
          <cell r="F4">
            <v>9.6835460662841797</v>
          </cell>
        </row>
        <row r="5">
          <cell r="C5" t="str">
            <v>正丁醛</v>
          </cell>
          <cell r="D5">
            <v>3664.8955078125</v>
          </cell>
          <cell r="E5" t="str">
            <v>123-72-8</v>
          </cell>
          <cell r="F5">
            <v>177.44448852539099</v>
          </cell>
        </row>
        <row r="6">
          <cell r="C6" t="str">
            <v>异丁醇</v>
          </cell>
          <cell r="D6">
            <v>5489.2373046875</v>
          </cell>
          <cell r="E6" t="str">
            <v>78-83-1</v>
          </cell>
          <cell r="F6">
            <v>38.044952392578097</v>
          </cell>
        </row>
        <row r="7">
          <cell r="C7" t="str">
            <v>异戊醛</v>
          </cell>
          <cell r="D7">
            <v>703.623046875</v>
          </cell>
          <cell r="E7" t="str">
            <v>590-86-3</v>
          </cell>
          <cell r="F7">
            <v>13.8457162380219</v>
          </cell>
        </row>
        <row r="8">
          <cell r="C8" t="str">
            <v>正丁醇</v>
          </cell>
          <cell r="D8">
            <v>2367.06396484375</v>
          </cell>
          <cell r="E8" t="str">
            <v>71-36-3</v>
          </cell>
          <cell r="F8">
            <v>25.825401306152301</v>
          </cell>
        </row>
        <row r="9">
          <cell r="C9" t="str">
            <v>丙烯酸乙酯</v>
          </cell>
          <cell r="D9">
            <v>219.23350524902301</v>
          </cell>
          <cell r="E9" t="str">
            <v>140-88-5</v>
          </cell>
          <cell r="F9">
            <v>1.17661476135254</v>
          </cell>
        </row>
        <row r="10">
          <cell r="C10" t="str">
            <v>乙酸异丁酯</v>
          </cell>
          <cell r="D10">
            <v>624.461181640625</v>
          </cell>
          <cell r="E10" t="str">
            <v>110-19-0</v>
          </cell>
          <cell r="F10">
            <v>1.1376801729202299</v>
          </cell>
        </row>
        <row r="11">
          <cell r="C11" t="str">
            <v>乙酸丁酯</v>
          </cell>
          <cell r="D11">
            <v>290.82666015625</v>
          </cell>
          <cell r="E11" t="str">
            <v>123-86-4</v>
          </cell>
          <cell r="F11">
            <v>2.70010870695114</v>
          </cell>
        </row>
        <row r="12">
          <cell r="C12" t="str">
            <v>柠檬烯</v>
          </cell>
          <cell r="D12">
            <v>56.967609405517599</v>
          </cell>
          <cell r="E12" t="str">
            <v>138-86-3</v>
          </cell>
          <cell r="F12">
            <v>0.33171382546424899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1023.78424072266</v>
          </cell>
          <cell r="E2" t="str">
            <v>124-40-3</v>
          </cell>
          <cell r="F2">
            <v>3.1030722856521602</v>
          </cell>
        </row>
        <row r="3">
          <cell r="C3" t="str">
            <v>丙醛</v>
          </cell>
          <cell r="D3">
            <v>147.77182006835901</v>
          </cell>
          <cell r="E3" t="str">
            <v>123-38-6</v>
          </cell>
          <cell r="F3">
            <v>14.7650508880615</v>
          </cell>
        </row>
        <row r="4">
          <cell r="C4" t="str">
            <v>异戊二烯</v>
          </cell>
          <cell r="D4">
            <v>15.731091499328601</v>
          </cell>
          <cell r="E4" t="str">
            <v>78-79-5</v>
          </cell>
          <cell r="F4">
            <v>0.64111131429672197</v>
          </cell>
        </row>
        <row r="5">
          <cell r="C5" t="str">
            <v>正丁醛</v>
          </cell>
          <cell r="D5">
            <v>584.98370361328102</v>
          </cell>
          <cell r="E5" t="str">
            <v>123-72-8</v>
          </cell>
          <cell r="F5">
            <v>29.976366043090799</v>
          </cell>
        </row>
        <row r="6">
          <cell r="C6" t="str">
            <v>异丁醇</v>
          </cell>
          <cell r="D6">
            <v>109.400260925293</v>
          </cell>
          <cell r="E6" t="str">
            <v>78-83-1</v>
          </cell>
          <cell r="F6">
            <v>0.80248653888702404</v>
          </cell>
        </row>
        <row r="7">
          <cell r="C7" t="str">
            <v>异戊醛</v>
          </cell>
          <cell r="D7">
            <v>58.007804870605497</v>
          </cell>
          <cell r="E7" t="str">
            <v>590-86-3</v>
          </cell>
          <cell r="F7">
            <v>0.90226167440414395</v>
          </cell>
        </row>
        <row r="8">
          <cell r="C8" t="str">
            <v>正丁醇</v>
          </cell>
          <cell r="D8">
            <v>2377.34912109375</v>
          </cell>
          <cell r="E8" t="str">
            <v>71-36-3</v>
          </cell>
          <cell r="F8">
            <v>27.451393127441399</v>
          </cell>
        </row>
        <row r="9">
          <cell r="C9" t="str">
            <v>丙烯酸乙酯</v>
          </cell>
          <cell r="D9">
            <v>27.787290573120099</v>
          </cell>
          <cell r="E9" t="str">
            <v>140-88-5</v>
          </cell>
          <cell r="F9">
            <v>0.11047237366437899</v>
          </cell>
        </row>
        <row r="10">
          <cell r="C10" t="str">
            <v>正戊醛</v>
          </cell>
          <cell r="D10">
            <v>48.905445098877003</v>
          </cell>
          <cell r="E10" t="str">
            <v>110-62-3</v>
          </cell>
          <cell r="F10">
            <v>0.307195454835892</v>
          </cell>
        </row>
        <row r="11">
          <cell r="C11" t="str">
            <v>甲基丙烯酸甲酯</v>
          </cell>
          <cell r="D11">
            <v>28.597358703613299</v>
          </cell>
          <cell r="E11" t="str">
            <v>80-62-6</v>
          </cell>
          <cell r="F11">
            <v>0.33551132678985601</v>
          </cell>
        </row>
        <row r="12">
          <cell r="C12" t="str">
            <v>乙酸丁酯</v>
          </cell>
          <cell r="D12">
            <v>504.91842651367199</v>
          </cell>
          <cell r="E12" t="str">
            <v>123-86-4</v>
          </cell>
          <cell r="F12">
            <v>1.2347550392150899</v>
          </cell>
        </row>
        <row r="13">
          <cell r="C13" t="str">
            <v>β-蒎烯</v>
          </cell>
          <cell r="D13">
            <v>72.929855346679702</v>
          </cell>
          <cell r="E13" t="str">
            <v>127-91-3</v>
          </cell>
          <cell r="F13">
            <v>0.76637400686740897</v>
          </cell>
        </row>
        <row r="14">
          <cell r="C14" t="str">
            <v>柠檬烯</v>
          </cell>
          <cell r="D14">
            <v>120.48918914794901</v>
          </cell>
          <cell r="E14" t="str">
            <v>138-86-3</v>
          </cell>
          <cell r="F14">
            <v>0.74253678321838401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438.98376464843801</v>
          </cell>
          <cell r="E2" t="str">
            <v>124-40-3</v>
          </cell>
          <cell r="F2">
            <v>1.7451344132423401</v>
          </cell>
        </row>
        <row r="3">
          <cell r="C3" t="str">
            <v>丙醛</v>
          </cell>
          <cell r="D3">
            <v>155.11964416503901</v>
          </cell>
          <cell r="E3" t="str">
            <v>123-38-6</v>
          </cell>
          <cell r="F3">
            <v>17.5188083648682</v>
          </cell>
        </row>
        <row r="4">
          <cell r="C4" t="str">
            <v>正丁醛</v>
          </cell>
          <cell r="D4">
            <v>935.63616943359398</v>
          </cell>
          <cell r="E4" t="str">
            <v>123-72-8</v>
          </cell>
          <cell r="F4">
            <v>54.192188262939503</v>
          </cell>
        </row>
        <row r="5">
          <cell r="C5" t="str">
            <v>异丁醇</v>
          </cell>
          <cell r="D5">
            <v>94.802627563476605</v>
          </cell>
          <cell r="E5" t="str">
            <v>78-83-1</v>
          </cell>
          <cell r="F5">
            <v>0.78602111339569103</v>
          </cell>
        </row>
        <row r="6">
          <cell r="C6" t="str">
            <v>异戊醛</v>
          </cell>
          <cell r="D6">
            <v>250.66256713867199</v>
          </cell>
          <cell r="E6" t="str">
            <v>590-86-3</v>
          </cell>
          <cell r="F6">
            <v>4.4068675041198704</v>
          </cell>
        </row>
        <row r="7">
          <cell r="C7" t="str">
            <v>正丁醇</v>
          </cell>
          <cell r="D7">
            <v>45.466758728027301</v>
          </cell>
          <cell r="E7" t="str">
            <v>71-36-3</v>
          </cell>
          <cell r="F7">
            <v>1.6291753053665201</v>
          </cell>
        </row>
        <row r="8">
          <cell r="C8" t="str">
            <v>丙烯酸乙酯</v>
          </cell>
          <cell r="D8">
            <v>28.528964996337901</v>
          </cell>
          <cell r="E8" t="str">
            <v>140-88-5</v>
          </cell>
          <cell r="F8">
            <v>0.12819997966289501</v>
          </cell>
        </row>
        <row r="9">
          <cell r="C9" t="str">
            <v>乙酸丁酯</v>
          </cell>
          <cell r="D9">
            <v>460.74691772460898</v>
          </cell>
          <cell r="E9" t="str">
            <v>123-86-4</v>
          </cell>
          <cell r="F9">
            <v>1.2735513448715201</v>
          </cell>
        </row>
        <row r="10">
          <cell r="C10" t="str">
            <v>α-蒎烯</v>
          </cell>
          <cell r="D10">
            <v>437.17190551757801</v>
          </cell>
          <cell r="E10" t="str">
            <v>80-56-8</v>
          </cell>
          <cell r="F10">
            <v>1.1353168487548799</v>
          </cell>
        </row>
        <row r="11">
          <cell r="C11" t="str">
            <v>β-蒎烯</v>
          </cell>
          <cell r="D11">
            <v>46.229331970214801</v>
          </cell>
          <cell r="E11" t="str">
            <v>127-91-3</v>
          </cell>
          <cell r="F11">
            <v>0.16728317737579301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19.861888885498001</v>
          </cell>
          <cell r="E2" t="str">
            <v>463-58-1</v>
          </cell>
          <cell r="F2">
            <v>17.288871765136701</v>
          </cell>
        </row>
        <row r="3">
          <cell r="C3" t="str">
            <v>二甲胺</v>
          </cell>
          <cell r="D3">
            <v>101.419395446777</v>
          </cell>
          <cell r="E3" t="str">
            <v>124-40-3</v>
          </cell>
          <cell r="F3">
            <v>0.17472043633461001</v>
          </cell>
        </row>
        <row r="4">
          <cell r="C4" t="str">
            <v>丙醛</v>
          </cell>
          <cell r="D4">
            <v>260.70489501953102</v>
          </cell>
          <cell r="E4" t="str">
            <v>123-38-6</v>
          </cell>
          <cell r="F4">
            <v>27.788576126098601</v>
          </cell>
        </row>
        <row r="5">
          <cell r="C5" t="str">
            <v>异丁醛</v>
          </cell>
          <cell r="D5">
            <v>36.110988616943402</v>
          </cell>
          <cell r="E5" t="str">
            <v>78-84-2</v>
          </cell>
          <cell r="F5">
            <v>4.9418754577636701</v>
          </cell>
        </row>
        <row r="6">
          <cell r="C6" t="str">
            <v>正丁醛</v>
          </cell>
          <cell r="D6">
            <v>82.151176452636705</v>
          </cell>
          <cell r="E6" t="str">
            <v>123-72-8</v>
          </cell>
          <cell r="F6">
            <v>4.4907908439636204</v>
          </cell>
        </row>
        <row r="7">
          <cell r="C7" t="str">
            <v>异丁醇</v>
          </cell>
          <cell r="D7">
            <v>161.41461181640599</v>
          </cell>
          <cell r="E7" t="str">
            <v>78-83-1</v>
          </cell>
          <cell r="F7">
            <v>2.7499730587005602</v>
          </cell>
        </row>
        <row r="8">
          <cell r="C8" t="str">
            <v>异戊醛</v>
          </cell>
          <cell r="D8">
            <v>143.10681152343699</v>
          </cell>
          <cell r="E8" t="str">
            <v>590-86-3</v>
          </cell>
          <cell r="F8">
            <v>3.9887341260909999</v>
          </cell>
        </row>
        <row r="9">
          <cell r="C9" t="str">
            <v>正丁醇</v>
          </cell>
          <cell r="D9">
            <v>1901.04040527344</v>
          </cell>
          <cell r="E9" t="str">
            <v>71-36-3</v>
          </cell>
          <cell r="F9">
            <v>46.4418849945068</v>
          </cell>
        </row>
        <row r="10">
          <cell r="C10" t="str">
            <v>正戊醛</v>
          </cell>
          <cell r="D10">
            <v>125.21062469482401</v>
          </cell>
          <cell r="E10" t="str">
            <v>110-62-3</v>
          </cell>
          <cell r="F10">
            <v>0.79974702000618003</v>
          </cell>
        </row>
        <row r="11">
          <cell r="C11" t="str">
            <v>丙烯酸乙酯</v>
          </cell>
          <cell r="D11">
            <v>51.906532287597699</v>
          </cell>
          <cell r="E11" t="str">
            <v>140-88-5</v>
          </cell>
          <cell r="F11">
            <v>0.46247898042202001</v>
          </cell>
        </row>
        <row r="12">
          <cell r="C12" t="str">
            <v>乙硫醚</v>
          </cell>
          <cell r="D12">
            <v>26.366395950317401</v>
          </cell>
          <cell r="E12" t="str">
            <v>352-93-2</v>
          </cell>
          <cell r="F12">
            <v>0.29414898157119801</v>
          </cell>
        </row>
        <row r="13">
          <cell r="C13" t="str">
            <v>甲基丙烯酸甲酯</v>
          </cell>
          <cell r="D13">
            <v>43.803554534912102</v>
          </cell>
          <cell r="E13" t="str">
            <v>80-62-6</v>
          </cell>
          <cell r="F13">
            <v>0.54823201894760099</v>
          </cell>
        </row>
        <row r="14">
          <cell r="C14" t="str">
            <v>乙酸异丁酯</v>
          </cell>
          <cell r="D14">
            <v>521.17987060546898</v>
          </cell>
          <cell r="E14" t="str">
            <v>110-19-0</v>
          </cell>
          <cell r="F14">
            <v>1.07203876972198</v>
          </cell>
        </row>
        <row r="15">
          <cell r="C15" t="str">
            <v>乙酸丁酯</v>
          </cell>
          <cell r="D15">
            <v>633.89825439453102</v>
          </cell>
          <cell r="E15" t="str">
            <v>123-86-4</v>
          </cell>
          <cell r="F15">
            <v>1.65368556976318</v>
          </cell>
        </row>
        <row r="16">
          <cell r="C16" t="str">
            <v>β-蒎烯</v>
          </cell>
          <cell r="D16">
            <v>113.163711547852</v>
          </cell>
          <cell r="E16" t="str">
            <v>127-91-3</v>
          </cell>
          <cell r="F16">
            <v>0.65062057971954301</v>
          </cell>
        </row>
        <row r="17">
          <cell r="C17" t="str">
            <v>柠檬烯</v>
          </cell>
          <cell r="D17">
            <v>63.627353668212898</v>
          </cell>
          <cell r="E17" t="str">
            <v>138-86-3</v>
          </cell>
          <cell r="F17">
            <v>1.28234422206879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3990.0966796875</v>
          </cell>
          <cell r="E2" t="str">
            <v>124-40-3</v>
          </cell>
          <cell r="F2">
            <v>6.03249263763428</v>
          </cell>
        </row>
        <row r="3">
          <cell r="C3" t="str">
            <v>丙醛</v>
          </cell>
          <cell r="D3">
            <v>312.65090942382801</v>
          </cell>
          <cell r="E3" t="str">
            <v>123-38-6</v>
          </cell>
          <cell r="F3">
            <v>42.310797691345201</v>
          </cell>
        </row>
        <row r="4">
          <cell r="C4" t="str">
            <v>异丁醛</v>
          </cell>
          <cell r="D4">
            <v>45.193820953369098</v>
          </cell>
          <cell r="E4" t="str">
            <v>78-84-2</v>
          </cell>
          <cell r="F4">
            <v>5.4277787208557102</v>
          </cell>
        </row>
        <row r="5">
          <cell r="C5" t="str">
            <v>正丁醛</v>
          </cell>
          <cell r="D5">
            <v>4012.60620117188</v>
          </cell>
          <cell r="E5" t="str">
            <v>123-72-8</v>
          </cell>
          <cell r="F5">
            <v>192.49801635742199</v>
          </cell>
        </row>
        <row r="6">
          <cell r="C6" t="str">
            <v>异丁醇</v>
          </cell>
          <cell r="D6">
            <v>699.38586425781295</v>
          </cell>
          <cell r="E6" t="str">
            <v>78-83-1</v>
          </cell>
          <cell r="F6">
            <v>15.0224456787109</v>
          </cell>
        </row>
        <row r="7">
          <cell r="C7" t="str">
            <v>正丁醇</v>
          </cell>
          <cell r="D7">
            <v>2651.0263671875</v>
          </cell>
          <cell r="E7" t="str">
            <v>71-36-3</v>
          </cell>
          <cell r="F7">
            <v>28.658267974853501</v>
          </cell>
        </row>
        <row r="8">
          <cell r="C8" t="str">
            <v>异戊醛</v>
          </cell>
          <cell r="D8">
            <v>1015.4072265625</v>
          </cell>
          <cell r="E8" t="str">
            <v>590-86-3</v>
          </cell>
          <cell r="F8">
            <v>27.787559509277301</v>
          </cell>
        </row>
        <row r="9">
          <cell r="C9" t="str">
            <v>丙烯酸乙酯</v>
          </cell>
          <cell r="D9">
            <v>219.87951660156199</v>
          </cell>
          <cell r="E9" t="str">
            <v>140-88-5</v>
          </cell>
          <cell r="F9">
            <v>1.5922603607177701</v>
          </cell>
        </row>
        <row r="10">
          <cell r="C10" t="str">
            <v>乙酸丁酯</v>
          </cell>
          <cell r="D10">
            <v>734.901123046875</v>
          </cell>
          <cell r="E10" t="str">
            <v>123-86-4</v>
          </cell>
          <cell r="F10">
            <v>1.6824918985366799</v>
          </cell>
        </row>
        <row r="11">
          <cell r="C11" t="str">
            <v>柠檬烯</v>
          </cell>
          <cell r="D11">
            <v>239.69494628906199</v>
          </cell>
          <cell r="E11" t="str">
            <v>138-86-3</v>
          </cell>
          <cell r="F11">
            <v>1.38290786743164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1567.32299804687</v>
          </cell>
          <cell r="E2" t="str">
            <v>124-40-3</v>
          </cell>
          <cell r="F2">
            <v>2.3945617675781201</v>
          </cell>
        </row>
        <row r="3">
          <cell r="C3" t="str">
            <v>丙醛</v>
          </cell>
          <cell r="D3">
            <v>264.07696533203102</v>
          </cell>
          <cell r="E3" t="str">
            <v>123-38-6</v>
          </cell>
          <cell r="F3">
            <v>24.962751388549801</v>
          </cell>
        </row>
        <row r="4">
          <cell r="C4" t="str">
            <v>异丁醛</v>
          </cell>
          <cell r="D4">
            <v>59.307811737060497</v>
          </cell>
          <cell r="E4" t="str">
            <v>78-84-2</v>
          </cell>
          <cell r="F4">
            <v>7.1979551315307599</v>
          </cell>
        </row>
        <row r="5">
          <cell r="C5" t="str">
            <v>异丁醇</v>
          </cell>
          <cell r="D5">
            <v>207.68893432617199</v>
          </cell>
          <cell r="E5" t="str">
            <v>78-83-1</v>
          </cell>
          <cell r="F5">
            <v>3.5072319507598899</v>
          </cell>
        </row>
        <row r="6">
          <cell r="C6" t="str">
            <v>异戊醛</v>
          </cell>
          <cell r="D6">
            <v>395.86212158203102</v>
          </cell>
          <cell r="E6" t="str">
            <v>590-86-3</v>
          </cell>
          <cell r="F6">
            <v>8.5163125991821307</v>
          </cell>
        </row>
        <row r="7">
          <cell r="C7" t="str">
            <v>正丁醇</v>
          </cell>
          <cell r="D7">
            <v>488.65972900390602</v>
          </cell>
          <cell r="E7" t="str">
            <v>71-36-3</v>
          </cell>
          <cell r="F7">
            <v>18.300692558288599</v>
          </cell>
        </row>
        <row r="8">
          <cell r="C8" t="str">
            <v>丙烯酸乙酯</v>
          </cell>
          <cell r="D8">
            <v>107.08820343017599</v>
          </cell>
          <cell r="E8" t="str">
            <v>140-88-5</v>
          </cell>
          <cell r="F8">
            <v>1.180261105299</v>
          </cell>
        </row>
        <row r="9">
          <cell r="C9" t="str">
            <v>乙酸丁酯</v>
          </cell>
          <cell r="D9">
            <v>533.53607177734398</v>
          </cell>
          <cell r="E9" t="str">
            <v>123-86-4</v>
          </cell>
          <cell r="F9">
            <v>1.2343604564666699</v>
          </cell>
        </row>
        <row r="10">
          <cell r="C10" t="str">
            <v>柠檬烯</v>
          </cell>
          <cell r="D10">
            <v>193.39497375488301</v>
          </cell>
          <cell r="E10" t="str">
            <v>138-86-3</v>
          </cell>
          <cell r="F10">
            <v>1.1275445222854601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1307.91735839844</v>
          </cell>
          <cell r="E2" t="str">
            <v>124-40-3</v>
          </cell>
          <cell r="F2">
            <v>2.5052909851074201</v>
          </cell>
        </row>
        <row r="3">
          <cell r="C3" t="str">
            <v>丙醛</v>
          </cell>
          <cell r="D3">
            <v>270.05902099609398</v>
          </cell>
          <cell r="E3" t="str">
            <v>123-38-6</v>
          </cell>
          <cell r="F3">
            <v>32.005970001220703</v>
          </cell>
        </row>
        <row r="4">
          <cell r="C4" t="str">
            <v>异丁醛</v>
          </cell>
          <cell r="D4">
            <v>1994.162109375</v>
          </cell>
          <cell r="E4" t="str">
            <v>78-84-2</v>
          </cell>
          <cell r="F4">
            <v>303.43664550781301</v>
          </cell>
        </row>
        <row r="5">
          <cell r="C5" t="str">
            <v>异丁醇</v>
          </cell>
          <cell r="D5">
            <v>583.06683349609398</v>
          </cell>
          <cell r="E5" t="str">
            <v>78-83-1</v>
          </cell>
          <cell r="F5">
            <v>8.1191475391387904</v>
          </cell>
        </row>
        <row r="6">
          <cell r="C6" t="str">
            <v>异戊醛</v>
          </cell>
          <cell r="D6">
            <v>214.24592590332</v>
          </cell>
          <cell r="E6" t="str">
            <v>590-86-3</v>
          </cell>
          <cell r="F6">
            <v>3.9526431560516402</v>
          </cell>
        </row>
        <row r="7">
          <cell r="C7" t="str">
            <v>正丁醇</v>
          </cell>
          <cell r="D7">
            <v>2352.71997070313</v>
          </cell>
          <cell r="E7" t="str">
            <v>71-36-3</v>
          </cell>
          <cell r="F7">
            <v>32.223346710205099</v>
          </cell>
        </row>
        <row r="8">
          <cell r="C8" t="str">
            <v>丙烯酸乙酯</v>
          </cell>
          <cell r="D8">
            <v>194.63636779785199</v>
          </cell>
          <cell r="E8" t="str">
            <v>140-88-5</v>
          </cell>
          <cell r="F8">
            <v>1.95698571205139</v>
          </cell>
        </row>
        <row r="9">
          <cell r="C9" t="str">
            <v>乙硫醚</v>
          </cell>
          <cell r="D9">
            <v>23.5070896148682</v>
          </cell>
          <cell r="E9" t="str">
            <v>352-93-2</v>
          </cell>
          <cell r="F9">
            <v>0.29158866405487099</v>
          </cell>
        </row>
        <row r="10">
          <cell r="C10" t="str">
            <v>乙酸异丁酯</v>
          </cell>
          <cell r="D10">
            <v>547.90832519531295</v>
          </cell>
          <cell r="E10" t="str">
            <v>110-19-0</v>
          </cell>
          <cell r="F10">
            <v>1.25310063362122</v>
          </cell>
        </row>
        <row r="11">
          <cell r="C11" t="str">
            <v>乙酸丁酯</v>
          </cell>
          <cell r="D11">
            <v>630.92230224609398</v>
          </cell>
          <cell r="E11" t="str">
            <v>123-86-4</v>
          </cell>
          <cell r="F11">
            <v>1.83005619049072</v>
          </cell>
        </row>
        <row r="12">
          <cell r="C12" t="str">
            <v>柠檬烯</v>
          </cell>
          <cell r="D12">
            <v>170.99049377441401</v>
          </cell>
          <cell r="E12" t="str">
            <v>138-86-3</v>
          </cell>
          <cell r="F12">
            <v>1.66795089840889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682.67932128906295</v>
          </cell>
          <cell r="E2" t="str">
            <v>124-40-3</v>
          </cell>
          <cell r="F2">
            <v>1.3466988801956199</v>
          </cell>
        </row>
        <row r="3">
          <cell r="C3" t="str">
            <v>丙醛</v>
          </cell>
          <cell r="D3">
            <v>683.17034912109398</v>
          </cell>
          <cell r="E3" t="str">
            <v>123-38-6</v>
          </cell>
          <cell r="F3">
            <v>83.3829345703125</v>
          </cell>
        </row>
        <row r="4">
          <cell r="C4" t="str">
            <v>异丁醛</v>
          </cell>
          <cell r="D4">
            <v>22.783750534057599</v>
          </cell>
          <cell r="E4" t="str">
            <v>78-84-2</v>
          </cell>
          <cell r="F4">
            <v>8.9883933067321795</v>
          </cell>
        </row>
        <row r="5">
          <cell r="C5" t="str">
            <v>正丁醇</v>
          </cell>
          <cell r="D5">
            <v>1632.90795898437</v>
          </cell>
          <cell r="E5" t="str">
            <v>71-36-3</v>
          </cell>
          <cell r="F5">
            <v>23.032335281372099</v>
          </cell>
        </row>
        <row r="6">
          <cell r="C6" t="str">
            <v>正戊醛</v>
          </cell>
          <cell r="D6">
            <v>74.661727905273395</v>
          </cell>
          <cell r="E6" t="str">
            <v>110-62-3</v>
          </cell>
          <cell r="F6">
            <v>0.28111898899078402</v>
          </cell>
        </row>
        <row r="7">
          <cell r="C7" t="str">
            <v>丙烯酸乙酯</v>
          </cell>
          <cell r="D7">
            <v>160.38441467285199</v>
          </cell>
          <cell r="E7" t="str">
            <v>140-88-5</v>
          </cell>
          <cell r="F7">
            <v>0.77888709306716897</v>
          </cell>
        </row>
        <row r="8">
          <cell r="C8" t="str">
            <v>乙硫醚</v>
          </cell>
          <cell r="D8">
            <v>1356.42736816406</v>
          </cell>
          <cell r="E8" t="str">
            <v>352-93-2</v>
          </cell>
          <cell r="F8">
            <v>17.327831268310501</v>
          </cell>
        </row>
        <row r="9">
          <cell r="C9" t="str">
            <v>乙酸异丁酯</v>
          </cell>
          <cell r="D9">
            <v>594.677490234375</v>
          </cell>
          <cell r="E9" t="str">
            <v>110-19-0</v>
          </cell>
          <cell r="F9">
            <v>1.40066874027252</v>
          </cell>
        </row>
        <row r="10">
          <cell r="C10" t="str">
            <v>乙酸丁酯</v>
          </cell>
          <cell r="D10">
            <v>499.51702880859398</v>
          </cell>
          <cell r="E10" t="str">
            <v>123-86-4</v>
          </cell>
          <cell r="F10">
            <v>1.4921576976776101</v>
          </cell>
        </row>
        <row r="11">
          <cell r="C11" t="str">
            <v>α-蒎烯</v>
          </cell>
          <cell r="D11">
            <v>335.87677001953102</v>
          </cell>
          <cell r="E11" t="str">
            <v>80-56-8</v>
          </cell>
          <cell r="F11">
            <v>1.92724245786667</v>
          </cell>
        </row>
        <row r="12">
          <cell r="C12" t="str">
            <v>β-蒎烯</v>
          </cell>
          <cell r="D12">
            <v>19.061840057373001</v>
          </cell>
          <cell r="E12" t="str">
            <v>127-91-3</v>
          </cell>
          <cell r="F12">
            <v>7.4543520808219896E-2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2583.39282226563</v>
          </cell>
          <cell r="E2" t="str">
            <v>124-40-3</v>
          </cell>
          <cell r="F2">
            <v>4.0394840240478498</v>
          </cell>
        </row>
        <row r="3">
          <cell r="C3" t="str">
            <v>异戊二烯</v>
          </cell>
          <cell r="D3">
            <v>19.1035556793213</v>
          </cell>
          <cell r="E3" t="str">
            <v>78-79-5</v>
          </cell>
          <cell r="F3">
            <v>0.75383335351944003</v>
          </cell>
        </row>
        <row r="4">
          <cell r="C4" t="str">
            <v>丙醛</v>
          </cell>
          <cell r="D4">
            <v>194.10443115234401</v>
          </cell>
          <cell r="E4" t="str">
            <v>123-38-6</v>
          </cell>
          <cell r="F4">
            <v>18.778690338134801</v>
          </cell>
        </row>
        <row r="5">
          <cell r="C5" t="str">
            <v>异丁醛</v>
          </cell>
          <cell r="D5">
            <v>29.7186393737793</v>
          </cell>
          <cell r="E5" t="str">
            <v>78-84-2</v>
          </cell>
          <cell r="F5">
            <v>3.6914250850677499</v>
          </cell>
        </row>
        <row r="6">
          <cell r="C6" t="str">
            <v>正丁醛</v>
          </cell>
          <cell r="D6">
            <v>489.85650634765602</v>
          </cell>
          <cell r="E6" t="str">
            <v>123-72-8</v>
          </cell>
          <cell r="F6">
            <v>35.350118637084996</v>
          </cell>
        </row>
        <row r="7">
          <cell r="C7" t="str">
            <v>异丁醇</v>
          </cell>
          <cell r="D7">
            <v>103.19377899169901</v>
          </cell>
          <cell r="E7" t="str">
            <v>78-83-1</v>
          </cell>
          <cell r="F7">
            <v>1.56066626310349</v>
          </cell>
        </row>
        <row r="8">
          <cell r="C8" t="str">
            <v>正丁醇</v>
          </cell>
          <cell r="D8">
            <v>3286.54174804688</v>
          </cell>
          <cell r="E8" t="str">
            <v>71-36-3</v>
          </cell>
          <cell r="F8">
            <v>36.744903564453097</v>
          </cell>
        </row>
        <row r="9">
          <cell r="C9" t="str">
            <v>异戊醛</v>
          </cell>
          <cell r="D9">
            <v>310.45913696289102</v>
          </cell>
          <cell r="E9" t="str">
            <v>590-86-3</v>
          </cell>
          <cell r="F9">
            <v>4.6755967140197798</v>
          </cell>
        </row>
        <row r="10">
          <cell r="C10" t="str">
            <v>正戊醛</v>
          </cell>
          <cell r="D10">
            <v>59.565181732177699</v>
          </cell>
          <cell r="E10" t="str">
            <v>110-62-3</v>
          </cell>
          <cell r="F10">
            <v>0.32350333034992201</v>
          </cell>
        </row>
        <row r="11">
          <cell r="C11" t="str">
            <v>丙烯酸乙酯</v>
          </cell>
          <cell r="D11">
            <v>59.083549499511697</v>
          </cell>
          <cell r="E11" t="str">
            <v>140-88-5</v>
          </cell>
          <cell r="F11">
            <v>0.32180092483758899</v>
          </cell>
        </row>
        <row r="12">
          <cell r="C12" t="str">
            <v>甲基丙烯酸甲酯</v>
          </cell>
          <cell r="D12">
            <v>34.009365081787102</v>
          </cell>
          <cell r="E12" t="str">
            <v>80-62-6</v>
          </cell>
          <cell r="F12">
            <v>0.38633701205253601</v>
          </cell>
        </row>
        <row r="13">
          <cell r="C13" t="str">
            <v>乙酸异丁酯</v>
          </cell>
          <cell r="D13">
            <v>80.31884765625</v>
          </cell>
          <cell r="E13" t="str">
            <v>110-19-0</v>
          </cell>
          <cell r="F13">
            <v>0.149952277541161</v>
          </cell>
        </row>
        <row r="14">
          <cell r="C14" t="str">
            <v>乙酸丁酯</v>
          </cell>
          <cell r="D14">
            <v>463.67980957031301</v>
          </cell>
          <cell r="E14" t="str">
            <v>123-86-4</v>
          </cell>
          <cell r="F14">
            <v>1.0979038476944001</v>
          </cell>
        </row>
        <row r="15">
          <cell r="C15" t="str">
            <v>β-蒎烯</v>
          </cell>
          <cell r="D15">
            <v>67.347846984863295</v>
          </cell>
          <cell r="E15" t="str">
            <v>127-91-3</v>
          </cell>
          <cell r="F15">
            <v>0.46425320208072701</v>
          </cell>
        </row>
        <row r="16">
          <cell r="C16" t="str">
            <v>柠檬烯</v>
          </cell>
          <cell r="D16">
            <v>28.117639541626001</v>
          </cell>
          <cell r="E16" t="str">
            <v>138-86-3</v>
          </cell>
          <cell r="F16">
            <v>0.24433799088001301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3098.45922851563</v>
          </cell>
          <cell r="E2" t="str">
            <v>124-40-3</v>
          </cell>
          <cell r="F2">
            <v>8.2368166446685809</v>
          </cell>
        </row>
        <row r="3">
          <cell r="C3" t="str">
            <v>丙醛</v>
          </cell>
          <cell r="D3">
            <v>182.67022705078099</v>
          </cell>
          <cell r="E3" t="str">
            <v>123-38-6</v>
          </cell>
          <cell r="F3">
            <v>18.492946624755898</v>
          </cell>
        </row>
        <row r="4">
          <cell r="C4" t="str">
            <v>异戊二烯</v>
          </cell>
          <cell r="D4">
            <v>18.800676345825199</v>
          </cell>
          <cell r="E4" t="str">
            <v>78-79-5</v>
          </cell>
          <cell r="F4">
            <v>0.77632421255111705</v>
          </cell>
        </row>
        <row r="5">
          <cell r="C5" t="str">
            <v>正丁醛</v>
          </cell>
          <cell r="D5">
            <v>519.05419921875</v>
          </cell>
          <cell r="E5" t="str">
            <v>123-72-8</v>
          </cell>
          <cell r="F5">
            <v>26.949020385742202</v>
          </cell>
        </row>
        <row r="6">
          <cell r="C6" t="str">
            <v>异丁醇</v>
          </cell>
          <cell r="D6">
            <v>72.050689697265597</v>
          </cell>
          <cell r="E6" t="str">
            <v>78-83-1</v>
          </cell>
          <cell r="F6">
            <v>0.53549146652221702</v>
          </cell>
        </row>
        <row r="7">
          <cell r="C7" t="str">
            <v>异戊醛</v>
          </cell>
          <cell r="D7">
            <v>135.451583862305</v>
          </cell>
          <cell r="E7" t="str">
            <v>590-86-3</v>
          </cell>
          <cell r="F7">
            <v>3.4706443548202501</v>
          </cell>
        </row>
        <row r="8">
          <cell r="C8" t="str">
            <v>正丁醇</v>
          </cell>
          <cell r="D8">
            <v>2128.51098632813</v>
          </cell>
          <cell r="E8" t="str">
            <v>71-36-3</v>
          </cell>
          <cell r="F8">
            <v>24.9024658203125</v>
          </cell>
        </row>
        <row r="9">
          <cell r="C9" t="str">
            <v>丙烯酸乙酯</v>
          </cell>
          <cell r="D9">
            <v>52.951652526855497</v>
          </cell>
          <cell r="E9" t="str">
            <v>140-88-5</v>
          </cell>
          <cell r="F9">
            <v>0.213295668363571</v>
          </cell>
        </row>
        <row r="10">
          <cell r="C10" t="str">
            <v>乙酸丁酯</v>
          </cell>
          <cell r="D10">
            <v>355.11676025390602</v>
          </cell>
          <cell r="E10" t="str">
            <v>123-86-4</v>
          </cell>
          <cell r="F10">
            <v>0.87988477945327803</v>
          </cell>
        </row>
        <row r="11">
          <cell r="C11" t="str">
            <v>β-蒎烯</v>
          </cell>
          <cell r="D11">
            <v>63.298015594482401</v>
          </cell>
          <cell r="E11" t="str">
            <v>127-91-3</v>
          </cell>
          <cell r="F11">
            <v>0.2693907096982</v>
          </cell>
        </row>
        <row r="12">
          <cell r="C12" t="str">
            <v>柠檬烯</v>
          </cell>
          <cell r="D12">
            <v>56.609897613525398</v>
          </cell>
          <cell r="E12" t="str">
            <v>138-86-3</v>
          </cell>
          <cell r="F12">
            <v>0.35347387194633501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22.4100036621094</v>
          </cell>
          <cell r="E2" t="str">
            <v>463-58-1</v>
          </cell>
          <cell r="F2">
            <v>17.0432243347168</v>
          </cell>
        </row>
        <row r="3">
          <cell r="C3" t="str">
            <v>二甲胺</v>
          </cell>
          <cell r="D3">
            <v>1520.98864746094</v>
          </cell>
          <cell r="E3" t="str">
            <v>124-40-3</v>
          </cell>
          <cell r="F3">
            <v>2.2893509864807098</v>
          </cell>
        </row>
        <row r="4">
          <cell r="C4" t="str">
            <v>丙醛</v>
          </cell>
          <cell r="D4">
            <v>157.12213134765599</v>
          </cell>
          <cell r="E4" t="str">
            <v>123-38-6</v>
          </cell>
          <cell r="F4">
            <v>14.632488250732401</v>
          </cell>
        </row>
        <row r="5">
          <cell r="C5" t="str">
            <v>正丁醛</v>
          </cell>
          <cell r="D5">
            <v>373.06292724609398</v>
          </cell>
          <cell r="E5" t="str">
            <v>123-72-8</v>
          </cell>
          <cell r="F5">
            <v>17.8178310394287</v>
          </cell>
        </row>
        <row r="6">
          <cell r="C6" t="str">
            <v>异丁醇</v>
          </cell>
          <cell r="D6">
            <v>198.47474670410199</v>
          </cell>
          <cell r="E6" t="str">
            <v>78-83-1</v>
          </cell>
          <cell r="F6">
            <v>2.0789894461631802</v>
          </cell>
        </row>
        <row r="7">
          <cell r="C7" t="str">
            <v>正丁醇</v>
          </cell>
          <cell r="D7">
            <v>2948.60815429688</v>
          </cell>
          <cell r="E7" t="str">
            <v>71-36-3</v>
          </cell>
          <cell r="F7">
            <v>31.734086990356399</v>
          </cell>
        </row>
        <row r="8">
          <cell r="C8" t="str">
            <v>丙烯酸乙酯</v>
          </cell>
          <cell r="D8">
            <v>86.574478149414105</v>
          </cell>
          <cell r="E8" t="str">
            <v>140-88-5</v>
          </cell>
          <cell r="F8">
            <v>0.32080039381980902</v>
          </cell>
        </row>
        <row r="9">
          <cell r="C9" t="str">
            <v>二甲二硫</v>
          </cell>
          <cell r="D9">
            <v>11.8530521392822</v>
          </cell>
          <cell r="E9" t="str">
            <v>624-92-0</v>
          </cell>
          <cell r="F9">
            <v>9.2351458966731997E-2</v>
          </cell>
        </row>
        <row r="10">
          <cell r="C10" t="str">
            <v>乙酸丁酯</v>
          </cell>
          <cell r="D10">
            <v>377.08132934570301</v>
          </cell>
          <cell r="E10" t="str">
            <v>123-86-4</v>
          </cell>
          <cell r="F10">
            <v>0.85947275161743197</v>
          </cell>
        </row>
        <row r="11">
          <cell r="C11" t="str">
            <v>α-蒎烯</v>
          </cell>
          <cell r="D11">
            <v>1240.97998046875</v>
          </cell>
          <cell r="E11" t="str">
            <v>80-56-8</v>
          </cell>
          <cell r="F11">
            <v>2.6574964523315399</v>
          </cell>
        </row>
        <row r="12">
          <cell r="C12" t="str">
            <v>β-蒎烯</v>
          </cell>
          <cell r="D12">
            <v>83.262214660644503</v>
          </cell>
          <cell r="E12" t="str">
            <v>127-91-3</v>
          </cell>
          <cell r="F12">
            <v>0.24844238162040699</v>
          </cell>
        </row>
        <row r="13">
          <cell r="C13" t="str">
            <v>柠檬烯</v>
          </cell>
          <cell r="D13">
            <v>30.089881896972699</v>
          </cell>
          <cell r="E13" t="str">
            <v>138-86-3</v>
          </cell>
          <cell r="F13">
            <v>0.37111517786979697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354.308837890625</v>
          </cell>
          <cell r="E2" t="str">
            <v>124-40-3</v>
          </cell>
          <cell r="F2">
            <v>0.70040857791900601</v>
          </cell>
        </row>
        <row r="3">
          <cell r="C3" t="str">
            <v>丙醛</v>
          </cell>
          <cell r="D3">
            <v>147.28990173339801</v>
          </cell>
          <cell r="E3" t="str">
            <v>123-38-6</v>
          </cell>
          <cell r="F3">
            <v>18.0151062011719</v>
          </cell>
        </row>
        <row r="4">
          <cell r="C4" t="str">
            <v>异戊二烯</v>
          </cell>
          <cell r="D4">
            <v>11.4461889266968</v>
          </cell>
          <cell r="E4" t="str">
            <v>78-79-5</v>
          </cell>
          <cell r="F4">
            <v>0.57102620601654097</v>
          </cell>
        </row>
        <row r="5">
          <cell r="C5" t="str">
            <v>异丁醇</v>
          </cell>
          <cell r="D5">
            <v>97.791748046875</v>
          </cell>
          <cell r="E5" t="str">
            <v>78-83-1</v>
          </cell>
          <cell r="F5">
            <v>0.87809628248214699</v>
          </cell>
        </row>
        <row r="6">
          <cell r="C6" t="str">
            <v>正丁醇</v>
          </cell>
          <cell r="D6">
            <v>3030.2763671875</v>
          </cell>
          <cell r="E6" t="str">
            <v>71-36-3</v>
          </cell>
          <cell r="F6">
            <v>42.832576751708999</v>
          </cell>
        </row>
        <row r="7">
          <cell r="C7" t="str">
            <v>丙烯酸乙酯</v>
          </cell>
          <cell r="D7">
            <v>24.131717681884801</v>
          </cell>
          <cell r="E7" t="str">
            <v>140-88-5</v>
          </cell>
          <cell r="F7">
            <v>0.117440059781075</v>
          </cell>
        </row>
        <row r="8">
          <cell r="C8" t="str">
            <v>甲基丙烯酸甲酯</v>
          </cell>
          <cell r="D8">
            <v>22.5133056640625</v>
          </cell>
          <cell r="E8" t="str">
            <v>80-62-6</v>
          </cell>
          <cell r="F8">
            <v>0.32332634925842302</v>
          </cell>
        </row>
        <row r="9">
          <cell r="C9" t="str">
            <v>乙酸异丁酯</v>
          </cell>
          <cell r="D9">
            <v>61.683914184570298</v>
          </cell>
          <cell r="E9" t="str">
            <v>110-19-0</v>
          </cell>
          <cell r="F9">
            <v>0.14559336006641399</v>
          </cell>
        </row>
        <row r="10">
          <cell r="C10" t="str">
            <v>乙酸丁酯</v>
          </cell>
          <cell r="D10">
            <v>406.49774169921898</v>
          </cell>
          <cell r="E10" t="str">
            <v>123-86-4</v>
          </cell>
          <cell r="F10">
            <v>1.21685349941254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10.253155708313001</v>
          </cell>
          <cell r="E2" t="str">
            <v>463-58-1</v>
          </cell>
          <cell r="F2">
            <v>11.981991767883301</v>
          </cell>
        </row>
        <row r="3">
          <cell r="C3" t="str">
            <v>二甲胺</v>
          </cell>
          <cell r="D3">
            <v>1594.4560546875</v>
          </cell>
          <cell r="E3" t="str">
            <v>124-40-3</v>
          </cell>
          <cell r="F3">
            <v>3.6877427101135298</v>
          </cell>
        </row>
        <row r="4">
          <cell r="C4" t="str">
            <v>丙醛</v>
          </cell>
          <cell r="D4">
            <v>251.22149658203099</v>
          </cell>
          <cell r="E4" t="str">
            <v>123-38-6</v>
          </cell>
          <cell r="F4">
            <v>35.950031280517599</v>
          </cell>
        </row>
        <row r="5">
          <cell r="C5" t="str">
            <v>异丁醛</v>
          </cell>
          <cell r="D5">
            <v>16.366928100585898</v>
          </cell>
          <cell r="E5" t="str">
            <v>78-84-2</v>
          </cell>
          <cell r="F5">
            <v>3.00707960128784</v>
          </cell>
        </row>
        <row r="6">
          <cell r="C6" t="str">
            <v>正丁醛</v>
          </cell>
          <cell r="D6">
            <v>98.975715637207003</v>
          </cell>
          <cell r="E6" t="str">
            <v>123-72-8</v>
          </cell>
          <cell r="F6">
            <v>18.603447437286398</v>
          </cell>
        </row>
        <row r="7">
          <cell r="C7" t="str">
            <v>正丁醇</v>
          </cell>
          <cell r="D7">
            <v>3309.52416992188</v>
          </cell>
          <cell r="E7" t="str">
            <v>71-36-3</v>
          </cell>
          <cell r="F7">
            <v>54.731346130371101</v>
          </cell>
        </row>
        <row r="8">
          <cell r="C8" t="str">
            <v>正戊醛</v>
          </cell>
          <cell r="D8">
            <v>40.505035400390597</v>
          </cell>
          <cell r="E8" t="str">
            <v>110-62-3</v>
          </cell>
          <cell r="F8">
            <v>0.178811505436897</v>
          </cell>
        </row>
        <row r="9">
          <cell r="C9" t="str">
            <v>丙烯酸乙酯</v>
          </cell>
          <cell r="D9">
            <v>36.321811676025398</v>
          </cell>
          <cell r="E9" t="str">
            <v>140-88-5</v>
          </cell>
          <cell r="F9">
            <v>0.20681123435497301</v>
          </cell>
        </row>
        <row r="10">
          <cell r="C10" t="str">
            <v>甲基丙烯酸甲酯</v>
          </cell>
          <cell r="D10">
            <v>28.358188629150401</v>
          </cell>
          <cell r="E10" t="str">
            <v>80-62-6</v>
          </cell>
          <cell r="F10">
            <v>0.47649559378624001</v>
          </cell>
        </row>
        <row r="11">
          <cell r="C11" t="str">
            <v>乙酸丁酯</v>
          </cell>
          <cell r="D11">
            <v>449.78134155273398</v>
          </cell>
          <cell r="E11" t="str">
            <v>123-86-4</v>
          </cell>
          <cell r="F11">
            <v>1.57528877258301</v>
          </cell>
        </row>
        <row r="12">
          <cell r="C12" t="str">
            <v>β-蒎烯</v>
          </cell>
          <cell r="D12">
            <v>10.3360033035278</v>
          </cell>
          <cell r="E12" t="str">
            <v>127-91-3</v>
          </cell>
          <cell r="F12">
            <v>4.7390576452016803E-2</v>
          </cell>
        </row>
        <row r="13">
          <cell r="C13" t="str">
            <v>柠檬烯</v>
          </cell>
          <cell r="D13">
            <v>12.362916946411101</v>
          </cell>
          <cell r="E13" t="str">
            <v>138-86-3</v>
          </cell>
          <cell r="F13">
            <v>0.109116390347481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21.528581619262699</v>
          </cell>
          <cell r="E2" t="str">
            <v>463-58-1</v>
          </cell>
          <cell r="F2">
            <v>50.257490158081097</v>
          </cell>
        </row>
        <row r="3">
          <cell r="C3" t="str">
            <v>二甲胺</v>
          </cell>
          <cell r="D3">
            <v>430.29061889648398</v>
          </cell>
          <cell r="E3" t="str">
            <v>124-40-3</v>
          </cell>
          <cell r="F3">
            <v>0.82049089670181297</v>
          </cell>
        </row>
        <row r="4">
          <cell r="C4" t="str">
            <v>异戊二烯</v>
          </cell>
          <cell r="D4">
            <v>22.756427764892599</v>
          </cell>
          <cell r="E4" t="str">
            <v>78-79-5</v>
          </cell>
          <cell r="F4">
            <v>1.70913130044937</v>
          </cell>
        </row>
        <row r="5">
          <cell r="C5" t="str">
            <v>丙醛</v>
          </cell>
          <cell r="D5">
            <v>53.836830139160199</v>
          </cell>
          <cell r="E5" t="str">
            <v>123-38-6</v>
          </cell>
          <cell r="F5">
            <v>6.3516387939453098</v>
          </cell>
        </row>
        <row r="6">
          <cell r="C6" t="str">
            <v>异丁醇</v>
          </cell>
          <cell r="D6">
            <v>53.525836944580099</v>
          </cell>
          <cell r="E6" t="str">
            <v>78-83-1</v>
          </cell>
          <cell r="F6">
            <v>0.97015324234962497</v>
          </cell>
        </row>
        <row r="7">
          <cell r="C7" t="str">
            <v>异戊醛</v>
          </cell>
          <cell r="D7">
            <v>120.58559417724599</v>
          </cell>
          <cell r="E7" t="str">
            <v>590-86-3</v>
          </cell>
          <cell r="F7">
            <v>4.3155772686004603</v>
          </cell>
        </row>
        <row r="8">
          <cell r="C8" t="str">
            <v>丙烯酸乙酯</v>
          </cell>
          <cell r="D8">
            <v>15.475522994995099</v>
          </cell>
          <cell r="E8" t="str">
            <v>140-88-5</v>
          </cell>
          <cell r="F8">
            <v>7.2646684944629697E-2</v>
          </cell>
        </row>
        <row r="9">
          <cell r="C9" t="str">
            <v>乙酸异丁酯</v>
          </cell>
          <cell r="D9">
            <v>45.477401733398402</v>
          </cell>
          <cell r="E9" t="str">
            <v>110-19-0</v>
          </cell>
          <cell r="F9">
            <v>0.103539891541004</v>
          </cell>
        </row>
        <row r="10">
          <cell r="C10" t="str">
            <v>乙酸丁酯</v>
          </cell>
          <cell r="D10">
            <v>111.390998840332</v>
          </cell>
          <cell r="E10" t="str">
            <v>123-86-4</v>
          </cell>
          <cell r="F10">
            <v>0.44201538711786298</v>
          </cell>
        </row>
        <row r="11">
          <cell r="C11" t="str">
            <v>α-蒎烯</v>
          </cell>
          <cell r="D11">
            <v>1617.10534667969</v>
          </cell>
          <cell r="E11" t="str">
            <v>80-56-8</v>
          </cell>
          <cell r="F11">
            <v>4.3870410919189498</v>
          </cell>
        </row>
        <row r="12">
          <cell r="C12" t="str">
            <v>β-蒎烯</v>
          </cell>
          <cell r="D12">
            <v>42.395553588867202</v>
          </cell>
          <cell r="E12" t="str">
            <v>127-91-3</v>
          </cell>
          <cell r="F12">
            <v>0.16025939583778401</v>
          </cell>
        </row>
        <row r="13">
          <cell r="C13" t="str">
            <v>柠檬烯</v>
          </cell>
          <cell r="D13">
            <v>17.3658123016357</v>
          </cell>
          <cell r="E13" t="str">
            <v>138-86-3</v>
          </cell>
          <cell r="F13">
            <v>0.12636534869670901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33.957260131835902</v>
          </cell>
          <cell r="E2" t="str">
            <v>463-58-1</v>
          </cell>
          <cell r="F2">
            <v>38.824748992919901</v>
          </cell>
        </row>
        <row r="3">
          <cell r="C3" t="str">
            <v>二甲胺</v>
          </cell>
          <cell r="D3">
            <v>94.984962463378906</v>
          </cell>
          <cell r="E3" t="str">
            <v>124-40-3</v>
          </cell>
          <cell r="F3">
            <v>0.75837722420692399</v>
          </cell>
        </row>
        <row r="4">
          <cell r="C4" t="str">
            <v>丙醛</v>
          </cell>
          <cell r="D4">
            <v>42.209781646728501</v>
          </cell>
          <cell r="E4" t="str">
            <v>123-38-6</v>
          </cell>
          <cell r="F4">
            <v>5.9096274375915501</v>
          </cell>
        </row>
        <row r="5">
          <cell r="C5" t="str">
            <v>正丁醛</v>
          </cell>
          <cell r="D5">
            <v>26.148820877075199</v>
          </cell>
          <cell r="E5" t="str">
            <v>123-72-8</v>
          </cell>
          <cell r="F5">
            <v>1.87754786014557</v>
          </cell>
        </row>
        <row r="6">
          <cell r="C6" t="str">
            <v>异戊醛</v>
          </cell>
          <cell r="D6">
            <v>80.787948608398395</v>
          </cell>
          <cell r="E6" t="str">
            <v>590-86-3</v>
          </cell>
          <cell r="F6">
            <v>3.11142814159393</v>
          </cell>
        </row>
        <row r="7">
          <cell r="C7" t="str">
            <v>丙烯酸乙酯</v>
          </cell>
          <cell r="D7">
            <v>42.508331298828097</v>
          </cell>
          <cell r="E7" t="str">
            <v>140-88-5</v>
          </cell>
          <cell r="F7">
            <v>0.44326812028884899</v>
          </cell>
        </row>
        <row r="8">
          <cell r="C8" t="str">
            <v>β-蒎烯</v>
          </cell>
          <cell r="D8">
            <v>10.049933433532701</v>
          </cell>
          <cell r="E8" t="str">
            <v>127-91-3</v>
          </cell>
          <cell r="F8">
            <v>4.50824052095413E-2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466.98214721679699</v>
          </cell>
          <cell r="E2" t="str">
            <v>124-40-3</v>
          </cell>
          <cell r="F2">
            <v>99.554149627685504</v>
          </cell>
        </row>
        <row r="3">
          <cell r="C3" t="str">
            <v>丙醛</v>
          </cell>
          <cell r="D3">
            <v>62.599090576171903</v>
          </cell>
          <cell r="E3" t="str">
            <v>123-38-6</v>
          </cell>
          <cell r="F3">
            <v>602.69494628906295</v>
          </cell>
        </row>
        <row r="4">
          <cell r="C4" t="str">
            <v>正丁醛</v>
          </cell>
          <cell r="D4">
            <v>30.021436691284201</v>
          </cell>
          <cell r="E4" t="str">
            <v>123-72-8</v>
          </cell>
          <cell r="F4">
            <v>148.23573303222699</v>
          </cell>
        </row>
        <row r="5">
          <cell r="C5" t="str">
            <v>丙烯酸甲酯</v>
          </cell>
          <cell r="D5">
            <v>17.849340438842798</v>
          </cell>
          <cell r="E5" t="str">
            <v>96-33-3</v>
          </cell>
          <cell r="F5">
            <v>11.016207695007299</v>
          </cell>
        </row>
        <row r="6">
          <cell r="C6" t="str">
            <v>异丁醇</v>
          </cell>
          <cell r="D6">
            <v>127.33172607421901</v>
          </cell>
          <cell r="E6" t="str">
            <v>78-83-1</v>
          </cell>
          <cell r="F6">
            <v>240.308349609375</v>
          </cell>
        </row>
        <row r="7">
          <cell r="C7" t="str">
            <v>异戊醛</v>
          </cell>
          <cell r="D7">
            <v>150.09332275390599</v>
          </cell>
          <cell r="E7" t="str">
            <v>590-86-3</v>
          </cell>
          <cell r="F7">
            <v>224.95396423339801</v>
          </cell>
        </row>
        <row r="8">
          <cell r="C8" t="str">
            <v>正丁醇</v>
          </cell>
          <cell r="D8">
            <v>42.496604919433601</v>
          </cell>
          <cell r="E8" t="str">
            <v>71-36-3</v>
          </cell>
          <cell r="F8">
            <v>47.283744812011697</v>
          </cell>
        </row>
        <row r="9">
          <cell r="C9" t="str">
            <v>丙烯酸乙酯</v>
          </cell>
          <cell r="D9">
            <v>19.273189544677699</v>
          </cell>
          <cell r="E9" t="str">
            <v>140-88-5</v>
          </cell>
          <cell r="F9">
            <v>15.229518413543699</v>
          </cell>
        </row>
        <row r="10">
          <cell r="C10" t="str">
            <v>甲基丙烯酸甲酯</v>
          </cell>
          <cell r="D10">
            <v>33.194816589355497</v>
          </cell>
          <cell r="E10" t="str">
            <v>80-62-6</v>
          </cell>
          <cell r="F10">
            <v>37.526473999023402</v>
          </cell>
        </row>
        <row r="11">
          <cell r="C11" t="str">
            <v>β-蒎烯</v>
          </cell>
          <cell r="D11">
            <v>51.290271759033203</v>
          </cell>
          <cell r="E11" t="str">
            <v>127-91-3</v>
          </cell>
          <cell r="F11">
            <v>15.8220014572144</v>
          </cell>
        </row>
        <row r="12">
          <cell r="C12" t="str">
            <v>柠檬烯</v>
          </cell>
          <cell r="D12">
            <v>25.1788330078125</v>
          </cell>
          <cell r="E12" t="str">
            <v>138-86-3</v>
          </cell>
          <cell r="F12">
            <v>14.951739311218301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148.74809265136699</v>
          </cell>
          <cell r="E2" t="str">
            <v>124-40-3</v>
          </cell>
          <cell r="F2">
            <v>0.66762205958366405</v>
          </cell>
        </row>
        <row r="3">
          <cell r="C3" t="str">
            <v>甲硫醚</v>
          </cell>
          <cell r="D3">
            <v>31.394172668456999</v>
          </cell>
          <cell r="E3" t="str">
            <v>75-18-3</v>
          </cell>
          <cell r="F3">
            <v>4.3438954353332502</v>
          </cell>
        </row>
        <row r="4">
          <cell r="C4" t="str">
            <v>异戊二烯</v>
          </cell>
          <cell r="D4">
            <v>85.110099792480497</v>
          </cell>
          <cell r="E4" t="str">
            <v>78-79-5</v>
          </cell>
          <cell r="F4">
            <v>3.8582084178924601</v>
          </cell>
        </row>
        <row r="5">
          <cell r="C5" t="str">
            <v>异丁醇</v>
          </cell>
          <cell r="D5">
            <v>91.531227111816406</v>
          </cell>
          <cell r="E5" t="str">
            <v>78-83-1</v>
          </cell>
          <cell r="F5">
            <v>1.5271342396736101</v>
          </cell>
        </row>
        <row r="6">
          <cell r="C6" t="str">
            <v>异戊醛</v>
          </cell>
          <cell r="D6">
            <v>57.3519897460938</v>
          </cell>
          <cell r="E6" t="str">
            <v>590-86-3</v>
          </cell>
          <cell r="F6">
            <v>1.8938890695571899</v>
          </cell>
        </row>
        <row r="7">
          <cell r="C7" t="str">
            <v>β-蒎烯</v>
          </cell>
          <cell r="D7">
            <v>20.4919338226318</v>
          </cell>
          <cell r="E7" t="str">
            <v>127-91-3</v>
          </cell>
          <cell r="F7">
            <v>7.2971478104591397E-2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152.96780395507801</v>
          </cell>
          <cell r="E2" t="str">
            <v>124-40-3</v>
          </cell>
          <cell r="F2">
            <v>0.316499203443527</v>
          </cell>
        </row>
        <row r="3">
          <cell r="C3" t="str">
            <v>丙醛</v>
          </cell>
          <cell r="D3">
            <v>44.893177032470703</v>
          </cell>
          <cell r="E3" t="str">
            <v>123-38-6</v>
          </cell>
          <cell r="F3">
            <v>5.7470812797546396</v>
          </cell>
        </row>
        <row r="4">
          <cell r="C4" t="str">
            <v>正丁醛</v>
          </cell>
          <cell r="D4">
            <v>19.169925689697301</v>
          </cell>
          <cell r="E4" t="str">
            <v>123-72-8</v>
          </cell>
          <cell r="F4">
            <v>1.2585756778717001</v>
          </cell>
        </row>
        <row r="5">
          <cell r="C5" t="str">
            <v>异丁醇</v>
          </cell>
          <cell r="D5">
            <v>59.709877014160199</v>
          </cell>
          <cell r="E5" t="str">
            <v>78-83-1</v>
          </cell>
          <cell r="F5">
            <v>0.56116330623626698</v>
          </cell>
        </row>
        <row r="6">
          <cell r="C6" t="str">
            <v>异戊醛</v>
          </cell>
          <cell r="D6">
            <v>39.687454223632798</v>
          </cell>
          <cell r="E6" t="str">
            <v>590-86-3</v>
          </cell>
          <cell r="F6">
            <v>0.79090261459350597</v>
          </cell>
        </row>
        <row r="7">
          <cell r="C7" t="str">
            <v>正戊醛</v>
          </cell>
          <cell r="D7">
            <v>33.512748718261697</v>
          </cell>
          <cell r="E7" t="str">
            <v>110-62-3</v>
          </cell>
          <cell r="F7">
            <v>0.132349118590355</v>
          </cell>
        </row>
        <row r="8">
          <cell r="C8" t="str">
            <v>丙烯酸乙酯</v>
          </cell>
          <cell r="D8">
            <v>27.171291351318398</v>
          </cell>
          <cell r="E8" t="str">
            <v>140-88-5</v>
          </cell>
          <cell r="F8">
            <v>0.30308488011360202</v>
          </cell>
        </row>
        <row r="9">
          <cell r="C9" t="str">
            <v>乙酸异丁酯</v>
          </cell>
          <cell r="D9">
            <v>77.694496154785199</v>
          </cell>
          <cell r="E9" t="str">
            <v>110-19-0</v>
          </cell>
          <cell r="F9">
            <v>0.191938906908035</v>
          </cell>
        </row>
        <row r="10">
          <cell r="C10" t="str">
            <v>α-蒎烯</v>
          </cell>
          <cell r="D10">
            <v>34.774173736572301</v>
          </cell>
          <cell r="E10" t="str">
            <v>80-56-8</v>
          </cell>
          <cell r="F10">
            <v>0.102364860475063</v>
          </cell>
        </row>
        <row r="11">
          <cell r="C11" t="str">
            <v>柠檬烯</v>
          </cell>
          <cell r="D11">
            <v>23.21706199646</v>
          </cell>
          <cell r="E11" t="str">
            <v>138-86-3</v>
          </cell>
          <cell r="F11">
            <v>0.183316200971603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24.9642009735107</v>
          </cell>
          <cell r="E2" t="str">
            <v>463-58-1</v>
          </cell>
          <cell r="F2">
            <v>27.351638793945298</v>
          </cell>
        </row>
        <row r="3">
          <cell r="C3" t="str">
            <v>二甲胺</v>
          </cell>
          <cell r="D3">
            <v>249.77348327636699</v>
          </cell>
          <cell r="E3" t="str">
            <v>124-40-3</v>
          </cell>
          <cell r="F3">
            <v>0.54161244630813599</v>
          </cell>
        </row>
        <row r="4">
          <cell r="C4" t="str">
            <v>丙醛</v>
          </cell>
          <cell r="D4">
            <v>62.636791229247997</v>
          </cell>
          <cell r="E4" t="str">
            <v>123-38-6</v>
          </cell>
          <cell r="F4">
            <v>8.4036159515380895</v>
          </cell>
        </row>
        <row r="5">
          <cell r="C5" t="str">
            <v>甲硫醚</v>
          </cell>
          <cell r="D5">
            <v>52.649036407470703</v>
          </cell>
          <cell r="E5" t="str">
            <v>75-18-3</v>
          </cell>
          <cell r="F5">
            <v>4.0101552009582502</v>
          </cell>
        </row>
        <row r="6">
          <cell r="C6" t="str">
            <v>正丁醇</v>
          </cell>
          <cell r="D6">
            <v>32.4224243164063</v>
          </cell>
          <cell r="E6" t="str">
            <v>71-36-3</v>
          </cell>
          <cell r="F6">
            <v>1.3326662778854399</v>
          </cell>
        </row>
        <row r="7">
          <cell r="C7" t="str">
            <v>丙烯酸乙酯</v>
          </cell>
          <cell r="D7">
            <v>33.659034729003899</v>
          </cell>
          <cell r="E7" t="str">
            <v>140-88-5</v>
          </cell>
          <cell r="F7">
            <v>0.179681152105331</v>
          </cell>
        </row>
        <row r="8">
          <cell r="C8" t="str">
            <v>乙酸异丁酯</v>
          </cell>
          <cell r="D8">
            <v>67.931320190429702</v>
          </cell>
          <cell r="E8" t="str">
            <v>110-19-0</v>
          </cell>
          <cell r="F8">
            <v>0.175878405570984</v>
          </cell>
        </row>
        <row r="9">
          <cell r="C9" t="str">
            <v>乙酸丁酯</v>
          </cell>
          <cell r="D9">
            <v>166.77761840820301</v>
          </cell>
          <cell r="E9" t="str">
            <v>123-86-4</v>
          </cell>
          <cell r="F9">
            <v>1.0391694605350501</v>
          </cell>
        </row>
        <row r="10">
          <cell r="C10" t="str">
            <v>β-蒎烯</v>
          </cell>
          <cell r="D10">
            <v>34.317134857177699</v>
          </cell>
          <cell r="E10" t="str">
            <v>127-91-3</v>
          </cell>
          <cell r="F10">
            <v>0.25126105546951299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二甲胺</v>
          </cell>
          <cell r="D3">
            <v>422.83682250976602</v>
          </cell>
          <cell r="E3" t="str">
            <v>124-40-3</v>
          </cell>
          <cell r="F3">
            <v>0.88600760698318504</v>
          </cell>
        </row>
        <row r="4">
          <cell r="C4" t="str">
            <v>丙醛</v>
          </cell>
          <cell r="D4">
            <v>59.905403137207003</v>
          </cell>
          <cell r="E4" t="str">
            <v>123-38-6</v>
          </cell>
          <cell r="F4">
            <v>7.7664952278137198</v>
          </cell>
        </row>
        <row r="5">
          <cell r="C5" t="str">
            <v>异丁醛</v>
          </cell>
          <cell r="D5">
            <v>11.9755849838257</v>
          </cell>
          <cell r="E5" t="str">
            <v>78-84-2</v>
          </cell>
          <cell r="F5">
            <v>1.9933845996856701</v>
          </cell>
        </row>
        <row r="6">
          <cell r="C6" t="str">
            <v>异戊醛</v>
          </cell>
          <cell r="D6">
            <v>40.173595428466797</v>
          </cell>
          <cell r="E6" t="str">
            <v>590-86-3</v>
          </cell>
          <cell r="F6">
            <v>0.81077903509140004</v>
          </cell>
        </row>
        <row r="7">
          <cell r="C7" t="str">
            <v>正戊醛</v>
          </cell>
          <cell r="D7">
            <v>54.473072052002003</v>
          </cell>
          <cell r="E7" t="str">
            <v>110-62-3</v>
          </cell>
          <cell r="F7">
            <v>0.21786372363567399</v>
          </cell>
        </row>
        <row r="8">
          <cell r="C8" t="str">
            <v>丙烯酸乙酯</v>
          </cell>
          <cell r="D8">
            <v>18.985404968261701</v>
          </cell>
          <cell r="E8" t="str">
            <v>140-88-5</v>
          </cell>
          <cell r="F8">
            <v>9.79361683130264E-2</v>
          </cell>
        </row>
        <row r="9">
          <cell r="C9" t="str">
            <v>α-蒎烯</v>
          </cell>
          <cell r="D9">
            <v>13.627199172973601</v>
          </cell>
          <cell r="E9" t="str">
            <v>80-56-8</v>
          </cell>
          <cell r="F9">
            <v>4.0624942630529397E-2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羰基硫</v>
          </cell>
          <cell r="D3">
            <v>17.505680084228501</v>
          </cell>
          <cell r="E3" t="str">
            <v>463-58-1</v>
          </cell>
          <cell r="F3">
            <v>18.72926902771</v>
          </cell>
        </row>
        <row r="4">
          <cell r="C4" t="str">
            <v>二甲胺</v>
          </cell>
          <cell r="D4">
            <v>217.566329956055</v>
          </cell>
          <cell r="E4" t="str">
            <v>124-40-3</v>
          </cell>
          <cell r="F4">
            <v>0.46069139242172202</v>
          </cell>
        </row>
        <row r="5">
          <cell r="C5" t="str">
            <v>三甲胺</v>
          </cell>
          <cell r="D5">
            <v>41.97900390625</v>
          </cell>
          <cell r="E5" t="str">
            <v>75-50-3</v>
          </cell>
          <cell r="F5">
            <v>6.6813573241233798E-2</v>
          </cell>
        </row>
        <row r="6">
          <cell r="C6" t="str">
            <v>丙醛</v>
          </cell>
          <cell r="D6">
            <v>41.97900390625</v>
          </cell>
          <cell r="E6" t="str">
            <v>123-38-6</v>
          </cell>
          <cell r="F6">
            <v>5.4997754096984899</v>
          </cell>
        </row>
        <row r="7">
          <cell r="C7" t="str">
            <v>正戊醛</v>
          </cell>
          <cell r="D7">
            <v>19.838047027587901</v>
          </cell>
          <cell r="E7" t="str">
            <v>110-62-3</v>
          </cell>
          <cell r="F7">
            <v>8.0178089439868899E-2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丙醛</v>
          </cell>
          <cell r="D2">
            <v>358.85833740234398</v>
          </cell>
          <cell r="E2" t="str">
            <v>123-38-6</v>
          </cell>
          <cell r="F2">
            <v>36.651290893554702</v>
          </cell>
        </row>
        <row r="3">
          <cell r="C3" t="str">
            <v>异丁醛</v>
          </cell>
          <cell r="D3">
            <v>59.25390625</v>
          </cell>
          <cell r="E3" t="str">
            <v>78-84-2</v>
          </cell>
          <cell r="F3">
            <v>7.7699551582336399</v>
          </cell>
        </row>
        <row r="4">
          <cell r="C4" t="str">
            <v>正丁醛</v>
          </cell>
          <cell r="D4">
            <v>2439.95458984375</v>
          </cell>
          <cell r="E4" t="str">
            <v>123-72-8</v>
          </cell>
          <cell r="F4">
            <v>127.802658081055</v>
          </cell>
        </row>
        <row r="5">
          <cell r="C5" t="str">
            <v>异丁醇</v>
          </cell>
          <cell r="D5">
            <v>2740.87280273438</v>
          </cell>
          <cell r="E5" t="str">
            <v>78-83-1</v>
          </cell>
          <cell r="F5">
            <v>20.550916671752901</v>
          </cell>
        </row>
        <row r="6">
          <cell r="C6" t="str">
            <v>正丁醇</v>
          </cell>
          <cell r="D6">
            <v>976.03375244140602</v>
          </cell>
          <cell r="E6" t="str">
            <v>71-36-3</v>
          </cell>
          <cell r="F6">
            <v>11.5201778411865</v>
          </cell>
        </row>
        <row r="7">
          <cell r="C7" t="str">
            <v>异戊醛</v>
          </cell>
          <cell r="D7">
            <v>579.275390625</v>
          </cell>
          <cell r="E7" t="str">
            <v>590-86-3</v>
          </cell>
          <cell r="F7">
            <v>9.2098817825317401</v>
          </cell>
        </row>
        <row r="8">
          <cell r="C8" t="str">
            <v>丙烯酸乙酯</v>
          </cell>
          <cell r="D8">
            <v>121.590438842773</v>
          </cell>
          <cell r="E8" t="str">
            <v>140-88-5</v>
          </cell>
          <cell r="F8">
            <v>0.494117051362991</v>
          </cell>
        </row>
        <row r="9">
          <cell r="C9" t="str">
            <v>乙酸异丁酯</v>
          </cell>
          <cell r="D9">
            <v>254.43978881835901</v>
          </cell>
          <cell r="E9" t="str">
            <v>110-19-0</v>
          </cell>
          <cell r="F9">
            <v>0.50148391723632801</v>
          </cell>
        </row>
        <row r="10">
          <cell r="C10" t="str">
            <v>乙酸丁酯</v>
          </cell>
          <cell r="D10">
            <v>602.21350097656295</v>
          </cell>
          <cell r="E10" t="str">
            <v>123-86-4</v>
          </cell>
          <cell r="F10">
            <v>1.5053343772888199</v>
          </cell>
        </row>
        <row r="11">
          <cell r="C11" t="str">
            <v>β-蒎烯</v>
          </cell>
          <cell r="D11">
            <v>20.484972000122099</v>
          </cell>
          <cell r="E11" t="str">
            <v>127-91-3</v>
          </cell>
          <cell r="F11">
            <v>6.7034520208835602E-2</v>
          </cell>
        </row>
        <row r="12">
          <cell r="C12" t="str">
            <v>柠檬烯</v>
          </cell>
          <cell r="D12">
            <v>24.649316787719702</v>
          </cell>
          <cell r="E12" t="str">
            <v>138-86-3</v>
          </cell>
          <cell r="F12">
            <v>0.45027683675289198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丙醛</v>
          </cell>
          <cell r="D2">
            <v>238.06393432617199</v>
          </cell>
          <cell r="E2" t="str">
            <v>123-38-6</v>
          </cell>
          <cell r="F2">
            <v>45.0648803710938</v>
          </cell>
        </row>
        <row r="3">
          <cell r="C3" t="str">
            <v>异丁醛</v>
          </cell>
          <cell r="D3">
            <v>588.96740722656295</v>
          </cell>
          <cell r="E3" t="str">
            <v>78-84-2</v>
          </cell>
          <cell r="F3">
            <v>91.641342163085895</v>
          </cell>
        </row>
        <row r="4">
          <cell r="C4" t="str">
            <v>正丁醛</v>
          </cell>
          <cell r="D4">
            <v>2496.38525390625</v>
          </cell>
          <cell r="E4" t="str">
            <v>123-72-8</v>
          </cell>
          <cell r="F4">
            <v>155.15594482421901</v>
          </cell>
        </row>
        <row r="5">
          <cell r="C5" t="str">
            <v>异丁醇</v>
          </cell>
          <cell r="D5">
            <v>472.44595336914102</v>
          </cell>
          <cell r="E5" t="str">
            <v>78-83-1</v>
          </cell>
          <cell r="F5">
            <v>6.6656048297882098</v>
          </cell>
        </row>
        <row r="6">
          <cell r="C6" t="str">
            <v>正丁醇</v>
          </cell>
          <cell r="D6">
            <v>3045.06616210938</v>
          </cell>
          <cell r="E6" t="str">
            <v>71-36-3</v>
          </cell>
          <cell r="F6">
            <v>62.903192520141602</v>
          </cell>
        </row>
        <row r="7">
          <cell r="C7" t="str">
            <v>异戊醛</v>
          </cell>
          <cell r="D7">
            <v>723.13226318359398</v>
          </cell>
          <cell r="E7" t="str">
            <v>590-86-3</v>
          </cell>
          <cell r="F7">
            <v>13.642230033874499</v>
          </cell>
        </row>
        <row r="8">
          <cell r="C8" t="str">
            <v>正戊醛</v>
          </cell>
          <cell r="D8">
            <v>154.037353515625</v>
          </cell>
          <cell r="E8" t="str">
            <v>110-62-3</v>
          </cell>
          <cell r="F8">
            <v>0.57588386535644498</v>
          </cell>
        </row>
        <row r="9">
          <cell r="C9" t="str">
            <v>丙烯酸乙酯</v>
          </cell>
          <cell r="D9">
            <v>193.30041503906199</v>
          </cell>
          <cell r="E9" t="str">
            <v>140-88-5</v>
          </cell>
          <cell r="F9">
            <v>0.93209856748580899</v>
          </cell>
        </row>
        <row r="10">
          <cell r="C10" t="str">
            <v>乙酸异丁酯</v>
          </cell>
          <cell r="D10">
            <v>329.53201293945301</v>
          </cell>
          <cell r="E10" t="str">
            <v>110-19-0</v>
          </cell>
          <cell r="F10">
            <v>1.2260836064815499</v>
          </cell>
        </row>
        <row r="11">
          <cell r="C11" t="str">
            <v>乙酸丁酯</v>
          </cell>
          <cell r="D11">
            <v>1362.78161621094</v>
          </cell>
          <cell r="E11" t="str">
            <v>123-86-4</v>
          </cell>
          <cell r="F11">
            <v>4.0421032905578604</v>
          </cell>
        </row>
        <row r="12">
          <cell r="C12" t="str">
            <v>柠檬烯</v>
          </cell>
          <cell r="D12">
            <v>224.61563110351599</v>
          </cell>
          <cell r="E12" t="str">
            <v>138-86-3</v>
          </cell>
          <cell r="F12">
            <v>1.6789255142211901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甲硫醇</v>
          </cell>
          <cell r="D2">
            <v>51.1502075195313</v>
          </cell>
          <cell r="E2" t="str">
            <v>74-93-1</v>
          </cell>
          <cell r="F2">
            <v>24.416374206543001</v>
          </cell>
        </row>
        <row r="3">
          <cell r="C3" t="str">
            <v>丙醛</v>
          </cell>
          <cell r="D3">
            <v>45.5420112609863</v>
          </cell>
          <cell r="E3" t="str">
            <v>123-38-6</v>
          </cell>
          <cell r="F3">
            <v>4.6607413291931197</v>
          </cell>
        </row>
        <row r="4">
          <cell r="C4" t="str">
            <v>甲硫醚</v>
          </cell>
          <cell r="D4">
            <v>15.668212890625</v>
          </cell>
          <cell r="E4" t="str">
            <v>75-18-3</v>
          </cell>
          <cell r="F4">
            <v>0.91032469272613503</v>
          </cell>
        </row>
        <row r="5">
          <cell r="C5" t="str">
            <v>丙烯酸甲酯</v>
          </cell>
          <cell r="D5">
            <v>20.706378936767599</v>
          </cell>
          <cell r="E5" t="str">
            <v>96-33-3</v>
          </cell>
          <cell r="F5">
            <v>0.135839909315109</v>
          </cell>
        </row>
        <row r="6">
          <cell r="C6" t="str">
            <v>α-蒎烯</v>
          </cell>
          <cell r="D6">
            <v>12.0286769866943</v>
          </cell>
          <cell r="E6" t="str">
            <v>80-56-8</v>
          </cell>
          <cell r="F6">
            <v>2.8306601569056501E-2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52"/>
  <sheetViews>
    <sheetView tabSelected="1" workbookViewId="0">
      <selection activeCell="BQ1" sqref="BQ1:CJ1"/>
    </sheetView>
  </sheetViews>
  <sheetFormatPr defaultColWidth="8.7265625" defaultRowHeight="15.5" x14ac:dyDescent="0.35"/>
  <cols>
    <col min="1" max="1" width="8.7265625" style="2"/>
    <col min="2" max="2" width="17.26953125" style="3" customWidth="1"/>
    <col min="3" max="68" width="8.7265625" style="2" customWidth="1"/>
    <col min="69" max="88" width="14" style="2"/>
    <col min="89" max="16384" width="8.7265625" style="2"/>
  </cols>
  <sheetData>
    <row r="1" spans="1:88" s="1" customFormat="1" x14ac:dyDescent="0.25">
      <c r="A1" s="4" t="s">
        <v>54</v>
      </c>
      <c r="B1" s="4" t="s">
        <v>55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56</v>
      </c>
      <c r="BF1" s="5" t="s">
        <v>57</v>
      </c>
      <c r="BG1" s="15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5" t="s">
        <v>66</v>
      </c>
      <c r="BP1" s="5" t="s">
        <v>67</v>
      </c>
      <c r="BQ1" s="17"/>
      <c r="BR1" s="17"/>
      <c r="BS1" s="17"/>
      <c r="BT1" s="17"/>
      <c r="BU1" s="17"/>
      <c r="BV1" s="17"/>
      <c r="BW1" s="17"/>
      <c r="BX1" s="18"/>
      <c r="BY1" s="18"/>
      <c r="BZ1" s="19"/>
      <c r="CA1" s="19"/>
      <c r="CB1" s="18"/>
      <c r="CC1" s="19"/>
      <c r="CD1" s="18"/>
      <c r="CE1" s="19"/>
      <c r="CF1" s="19"/>
      <c r="CG1" s="18"/>
      <c r="CH1" s="19"/>
      <c r="CI1" s="18"/>
      <c r="CJ1" s="19"/>
    </row>
    <row r="2" spans="1:88" ht="16" x14ac:dyDescent="0.35">
      <c r="A2" s="6">
        <v>1</v>
      </c>
      <c r="B2" s="7" t="s">
        <v>68</v>
      </c>
      <c r="C2" s="2">
        <v>62.814201354980497</v>
      </c>
      <c r="D2" s="2">
        <v>116.569900512695</v>
      </c>
      <c r="E2" s="8">
        <v>77.155067443847699</v>
      </c>
      <c r="F2" s="2">
        <v>93.103630065917997</v>
      </c>
      <c r="G2" s="9">
        <v>104.44367218017599</v>
      </c>
      <c r="H2" s="9">
        <v>91.283897399902301</v>
      </c>
      <c r="I2" s="9">
        <v>99.282821655273395</v>
      </c>
      <c r="J2" s="9">
        <v>135.34504699707</v>
      </c>
      <c r="K2" s="9">
        <v>235.85658264160199</v>
      </c>
      <c r="L2" s="9">
        <v>142.96986389160199</v>
      </c>
      <c r="M2" s="9">
        <v>132.90843200683599</v>
      </c>
      <c r="N2" s="9"/>
      <c r="O2" s="9">
        <v>105.818145751953</v>
      </c>
      <c r="P2" s="9">
        <v>108.765747070312</v>
      </c>
      <c r="Q2" s="9">
        <v>101.619354248047</v>
      </c>
      <c r="R2" s="9">
        <v>82.812118530273395</v>
      </c>
      <c r="S2" s="9">
        <v>126.94920349121099</v>
      </c>
      <c r="T2" s="9">
        <v>91.691184997558594</v>
      </c>
      <c r="U2" s="9">
        <v>96.790763854980497</v>
      </c>
      <c r="V2" s="9">
        <v>107.19219970703099</v>
      </c>
      <c r="W2" s="9">
        <v>80.885772705078097</v>
      </c>
      <c r="X2" s="9">
        <v>94.039962768554702</v>
      </c>
      <c r="Y2" s="9">
        <v>107.99137878418</v>
      </c>
      <c r="Z2" s="9">
        <v>74.478744506835895</v>
      </c>
      <c r="AA2" s="9">
        <v>81.530952453613295</v>
      </c>
      <c r="AB2" s="9">
        <v>71.628791809082003</v>
      </c>
      <c r="AC2" s="9">
        <v>105.02903747558599</v>
      </c>
      <c r="AD2" s="9">
        <v>79.445007324218693</v>
      </c>
      <c r="AE2" s="9">
        <v>164.3193359375</v>
      </c>
      <c r="AF2" s="9">
        <v>134.13195800781199</v>
      </c>
      <c r="AG2" s="9">
        <v>122.14023590087901</v>
      </c>
      <c r="AH2" s="9">
        <v>77.965095520019503</v>
      </c>
      <c r="AI2" s="9">
        <v>116.67503356933599</v>
      </c>
      <c r="AJ2" s="9">
        <v>106.470779418945</v>
      </c>
      <c r="AK2" s="9">
        <v>130.12002563476599</v>
      </c>
      <c r="AL2" s="9">
        <v>107.914352416992</v>
      </c>
      <c r="AM2" s="9">
        <v>138.63299560546901</v>
      </c>
      <c r="AN2" s="9">
        <v>107.256233215332</v>
      </c>
      <c r="AO2" s="9">
        <v>118.23342132568401</v>
      </c>
      <c r="AP2" s="9">
        <v>110.512565612793</v>
      </c>
      <c r="AQ2" s="9">
        <v>275.23834228515602</v>
      </c>
      <c r="AR2" s="9">
        <v>160.43771362304699</v>
      </c>
      <c r="AS2" s="9">
        <v>125.51447296142599</v>
      </c>
      <c r="AT2" s="9">
        <v>77.965095520019503</v>
      </c>
      <c r="AU2" s="9">
        <v>92.295852661132798</v>
      </c>
      <c r="AV2" s="9">
        <v>113.011665344238</v>
      </c>
      <c r="AW2" s="9">
        <v>139.26487731933599</v>
      </c>
      <c r="AX2" s="9">
        <v>122.99456024169901</v>
      </c>
      <c r="AY2" s="9">
        <v>143.79269409179699</v>
      </c>
      <c r="AZ2" s="9">
        <v>164.23957824707</v>
      </c>
      <c r="BA2" s="9">
        <v>322.55505371093801</v>
      </c>
      <c r="BB2" s="9">
        <v>130.83842468261699</v>
      </c>
      <c r="BC2" s="9">
        <v>110.347457885742</v>
      </c>
      <c r="BD2" s="9">
        <v>83.202110290527301</v>
      </c>
      <c r="BE2" s="9">
        <v>115.663215637207</v>
      </c>
      <c r="BF2" s="9">
        <v>135.25485229492199</v>
      </c>
      <c r="BG2" s="9">
        <v>201.02719116210901</v>
      </c>
      <c r="BH2" s="9"/>
      <c r="BI2" s="9"/>
      <c r="BJ2" s="9"/>
      <c r="BK2" s="9"/>
      <c r="BL2" s="9"/>
      <c r="BM2" s="9"/>
      <c r="BN2" s="9"/>
      <c r="BO2" s="9"/>
      <c r="BP2" s="9"/>
    </row>
    <row r="3" spans="1:88" ht="16" x14ac:dyDescent="0.35">
      <c r="A3" s="6">
        <v>2</v>
      </c>
      <c r="B3" s="7" t="s">
        <v>69</v>
      </c>
      <c r="C3" s="2">
        <v>14.330177307128899</v>
      </c>
      <c r="D3" s="2">
        <v>20.498092651367202</v>
      </c>
      <c r="E3" s="8">
        <v>18.6025276184082</v>
      </c>
      <c r="F3" s="2">
        <v>12.084119796752899</v>
      </c>
      <c r="G3" s="9">
        <v>19.792503356933601</v>
      </c>
      <c r="H3" s="9">
        <v>17.833768844604499</v>
      </c>
      <c r="I3" s="9">
        <v>20.535873413085898</v>
      </c>
      <c r="J3" s="9">
        <v>15.8326053619385</v>
      </c>
      <c r="K3" s="9">
        <v>71.062545776367202</v>
      </c>
      <c r="L3" s="9">
        <v>11.541451454162599</v>
      </c>
      <c r="M3" s="9">
        <v>37.458198547363303</v>
      </c>
      <c r="N3" s="9">
        <v>32.031776428222699</v>
      </c>
      <c r="O3" s="9">
        <v>65.968597412109403</v>
      </c>
      <c r="P3" s="9">
        <v>66.353462219238295</v>
      </c>
      <c r="Q3" s="9">
        <v>67.2789306640625</v>
      </c>
      <c r="R3" s="9">
        <v>66.560859680175795</v>
      </c>
      <c r="S3" s="9">
        <v>62.8452339172363</v>
      </c>
      <c r="T3" s="9">
        <v>62.013156890869098</v>
      </c>
      <c r="U3" s="9">
        <v>211.59977722168</v>
      </c>
      <c r="V3" s="9">
        <v>66.233139038085895</v>
      </c>
      <c r="W3" s="9">
        <v>46.530109405517599</v>
      </c>
      <c r="X3" s="9">
        <v>64.125320434570298</v>
      </c>
      <c r="Y3" s="9">
        <v>32.655731201171903</v>
      </c>
      <c r="Z3" s="9">
        <v>47.2852973937988</v>
      </c>
      <c r="AA3" s="9">
        <v>44.812915802002003</v>
      </c>
      <c r="AB3" s="9">
        <v>52.440349578857401</v>
      </c>
      <c r="AC3" s="9">
        <v>96.397987365722699</v>
      </c>
      <c r="AD3" s="9">
        <v>74.402877807617202</v>
      </c>
      <c r="AE3" s="9">
        <v>33.511661529541001</v>
      </c>
      <c r="AF3" s="9">
        <v>35.093914031982401</v>
      </c>
      <c r="AG3" s="9">
        <v>28.313962936401399</v>
      </c>
      <c r="AH3" s="9">
        <v>28.642131805419901</v>
      </c>
      <c r="AI3" s="9">
        <v>12.4632654190063</v>
      </c>
      <c r="AJ3" s="9">
        <v>10.5325984954834</v>
      </c>
      <c r="AK3" s="9">
        <v>21.4243564605713</v>
      </c>
      <c r="AL3" s="9">
        <v>9.9972553253173793</v>
      </c>
      <c r="AM3" s="9">
        <v>24.534082412719702</v>
      </c>
      <c r="AN3" s="9">
        <v>42.2278861999512</v>
      </c>
      <c r="AO3" s="9">
        <v>27.575258255004901</v>
      </c>
      <c r="AP3" s="9">
        <v>28.4273166656494</v>
      </c>
      <c r="AQ3" s="9">
        <v>554.28771972656295</v>
      </c>
      <c r="AR3" s="9">
        <v>24.665563583373999</v>
      </c>
      <c r="AS3" s="9">
        <v>21.597997665405298</v>
      </c>
      <c r="AT3" s="9">
        <v>28.642131805419901</v>
      </c>
      <c r="AU3" s="9">
        <v>19.147655487060501</v>
      </c>
      <c r="AV3" s="9">
        <v>52.5690307617188</v>
      </c>
      <c r="AW3" s="9">
        <v>35.226638793945298</v>
      </c>
      <c r="AX3" s="9">
        <v>47.672199249267599</v>
      </c>
      <c r="AY3" s="9">
        <v>52.692661285400398</v>
      </c>
      <c r="AZ3" s="9">
        <v>81.935508728027301</v>
      </c>
      <c r="BA3" s="9">
        <v>62.6495361328125</v>
      </c>
      <c r="BB3" s="9">
        <v>19.797916412353501</v>
      </c>
      <c r="BC3" s="9">
        <v>20.761287689208999</v>
      </c>
      <c r="BD3" s="9">
        <v>18.035995483398398</v>
      </c>
      <c r="BE3" s="9">
        <v>19.551387786865199</v>
      </c>
      <c r="BF3" s="9">
        <v>33.835563659667997</v>
      </c>
      <c r="BG3" s="9">
        <v>68.008567810058594</v>
      </c>
      <c r="BH3" s="9"/>
      <c r="BI3" s="9"/>
      <c r="BJ3" s="9"/>
      <c r="BK3" s="9"/>
      <c r="BL3" s="9"/>
      <c r="BM3" s="9"/>
      <c r="BN3" s="9"/>
      <c r="BO3" s="9"/>
      <c r="BP3" s="9"/>
    </row>
    <row r="4" spans="1:88" ht="16" x14ac:dyDescent="0.35">
      <c r="A4" s="6">
        <v>3</v>
      </c>
      <c r="B4" s="7" t="s">
        <v>70</v>
      </c>
      <c r="C4" s="2">
        <v>78.227020263671903</v>
      </c>
      <c r="D4" s="2">
        <v>113.301567077637</v>
      </c>
      <c r="E4" s="8">
        <v>88.862564086914105</v>
      </c>
      <c r="F4" s="2">
        <v>77.154960632324205</v>
      </c>
      <c r="G4" s="9">
        <v>108.57184600830099</v>
      </c>
      <c r="H4" s="9">
        <v>89.918273925781193</v>
      </c>
      <c r="I4" s="9">
        <v>92.268424987792997</v>
      </c>
      <c r="J4" s="9">
        <v>145.60884094238301</v>
      </c>
      <c r="K4" s="9">
        <v>236.43093872070301</v>
      </c>
      <c r="L4" s="9">
        <v>103.771842956543</v>
      </c>
      <c r="M4" s="9">
        <v>27.164014816284201</v>
      </c>
      <c r="N4" s="9">
        <v>30.095647811889599</v>
      </c>
      <c r="O4" s="9">
        <v>18.527938842773398</v>
      </c>
      <c r="P4" s="9"/>
      <c r="Q4" s="9">
        <v>62.093456268310497</v>
      </c>
      <c r="R4" s="9">
        <v>22.303909301757798</v>
      </c>
      <c r="S4" s="9">
        <v>67.049209594726605</v>
      </c>
      <c r="T4" s="9">
        <v>21.804944992065401</v>
      </c>
      <c r="U4" s="9">
        <v>15.5641031265259</v>
      </c>
      <c r="V4" s="9">
        <v>36.366565704345703</v>
      </c>
      <c r="W4" s="9">
        <v>19.886827468872099</v>
      </c>
      <c r="X4" s="9">
        <v>26.622310638427699</v>
      </c>
      <c r="Y4" s="9">
        <v>10.4170179367065</v>
      </c>
      <c r="Z4" s="9">
        <v>5.6399712562561</v>
      </c>
      <c r="AA4" s="9">
        <v>33.427539825439503</v>
      </c>
      <c r="AB4" s="9">
        <v>4.6977982521057102</v>
      </c>
      <c r="AC4" s="9">
        <v>34.9146728515625</v>
      </c>
      <c r="AD4" s="9">
        <v>16.6759853363037</v>
      </c>
      <c r="AE4" s="9">
        <v>59.128772735595703</v>
      </c>
      <c r="AF4" s="9">
        <v>50.933799743652301</v>
      </c>
      <c r="AG4" s="9">
        <v>34.256813049316399</v>
      </c>
      <c r="AH4" s="9">
        <v>1.9511821269989</v>
      </c>
      <c r="AI4" s="9">
        <v>13.3618869781494</v>
      </c>
      <c r="AJ4" s="9">
        <v>18.708154678344702</v>
      </c>
      <c r="AK4" s="9">
        <v>173.17887878418</v>
      </c>
      <c r="AL4" s="9">
        <v>271.615478515625</v>
      </c>
      <c r="AM4" s="9">
        <v>25.810203552246101</v>
      </c>
      <c r="AN4" s="9">
        <v>100.381057739258</v>
      </c>
      <c r="AO4" s="9"/>
      <c r="AP4" s="9">
        <v>71.919830322265597</v>
      </c>
      <c r="AQ4" s="9">
        <v>71.879570007324205</v>
      </c>
      <c r="AR4" s="9">
        <v>34.8448677062988</v>
      </c>
      <c r="AS4" s="9">
        <v>39.366867065429702</v>
      </c>
      <c r="AT4" s="9">
        <v>1.9511821269989</v>
      </c>
      <c r="AU4" s="9">
        <v>16.381389617919901</v>
      </c>
      <c r="AV4" s="9">
        <v>22.305057525634801</v>
      </c>
      <c r="AW4" s="9">
        <v>59.367950439453097</v>
      </c>
      <c r="AX4" s="9">
        <v>62.174293518066399</v>
      </c>
      <c r="AY4" s="9">
        <v>63.774299621582003</v>
      </c>
      <c r="AZ4" s="9">
        <v>94.068496704101605</v>
      </c>
      <c r="BA4" s="9">
        <v>88.492469787597699</v>
      </c>
      <c r="BB4" s="9">
        <v>11.606647491455099</v>
      </c>
      <c r="BC4" s="9">
        <v>16.1836452484131</v>
      </c>
      <c r="BD4" s="9">
        <v>10.255352973938001</v>
      </c>
      <c r="BE4" s="9">
        <v>12.9555006027222</v>
      </c>
      <c r="BF4" s="9">
        <v>10.960228919982899</v>
      </c>
      <c r="BG4" s="9">
        <v>124.77342224121099</v>
      </c>
      <c r="BH4" s="9"/>
      <c r="BI4" s="9"/>
      <c r="BJ4" s="9"/>
      <c r="BK4" s="9"/>
      <c r="BL4" s="9"/>
      <c r="BM4" s="9"/>
      <c r="BN4" s="9"/>
      <c r="BO4" s="9"/>
      <c r="BP4" s="9"/>
    </row>
    <row r="5" spans="1:88" ht="16" x14ac:dyDescent="0.35">
      <c r="A5" s="6">
        <v>4</v>
      </c>
      <c r="B5" s="3" t="s">
        <v>71</v>
      </c>
      <c r="C5" s="2">
        <v>46.739830017089801</v>
      </c>
      <c r="D5" s="2">
        <v>46.606674194335902</v>
      </c>
      <c r="E5" s="8">
        <v>48.840095520019503</v>
      </c>
      <c r="F5" s="2">
        <v>58.179531097412102</v>
      </c>
      <c r="G5" s="9">
        <v>65.897476196289105</v>
      </c>
      <c r="H5" s="9">
        <v>45.4688911437988</v>
      </c>
      <c r="I5" s="9">
        <v>49.164085388183601</v>
      </c>
      <c r="J5" s="9">
        <v>63.488643646240199</v>
      </c>
      <c r="K5" s="9">
        <v>80.722000122070298</v>
      </c>
      <c r="L5" s="9">
        <v>52.620929718017599</v>
      </c>
      <c r="M5" s="9">
        <v>40.829391479492202</v>
      </c>
      <c r="N5" s="9">
        <v>29.139888763427699</v>
      </c>
      <c r="O5" s="9">
        <v>71.334785461425795</v>
      </c>
      <c r="P5" s="9">
        <v>81.371566772460895</v>
      </c>
      <c r="Q5" s="9">
        <v>34.621482849121101</v>
      </c>
      <c r="R5" s="9">
        <v>73.172080993652301</v>
      </c>
      <c r="S5" s="9">
        <v>125.549102783203</v>
      </c>
      <c r="T5" s="9">
        <v>29.121385574340799</v>
      </c>
      <c r="U5" s="9">
        <v>96.409347534179702</v>
      </c>
      <c r="V5" s="9">
        <v>87.635124206542997</v>
      </c>
      <c r="W5" s="9">
        <v>89.163017272949205</v>
      </c>
      <c r="X5" s="9">
        <v>79.573135375976605</v>
      </c>
      <c r="Y5" s="9">
        <v>88.255241394042997</v>
      </c>
      <c r="Z5" s="9">
        <v>21.751340866088899</v>
      </c>
      <c r="AA5" s="9">
        <v>32.464088439941399</v>
      </c>
      <c r="AB5" s="9">
        <v>29.248960494995099</v>
      </c>
      <c r="AC5" s="9">
        <v>30.7677307128906</v>
      </c>
      <c r="AD5" s="9">
        <v>31.427049636840799</v>
      </c>
      <c r="AE5" s="9">
        <v>35.198963165283203</v>
      </c>
      <c r="AF5" s="9">
        <v>35.6578369140625</v>
      </c>
      <c r="AG5" s="9">
        <v>62.279666900634801</v>
      </c>
      <c r="AH5" s="9">
        <v>26.707401275634801</v>
      </c>
      <c r="AI5" s="9">
        <v>49.968986511230497</v>
      </c>
      <c r="AJ5" s="9">
        <v>56.144138336181598</v>
      </c>
      <c r="AK5" s="9">
        <v>43.950397491455099</v>
      </c>
      <c r="AL5" s="9">
        <v>30.376050949096701</v>
      </c>
      <c r="AM5" s="9">
        <v>48.856178283691399</v>
      </c>
      <c r="AN5" s="9">
        <v>33.506534576416001</v>
      </c>
      <c r="AO5" s="9">
        <v>59.335742950439503</v>
      </c>
      <c r="AP5" s="9">
        <v>51.541919708252003</v>
      </c>
      <c r="AQ5" s="9">
        <v>68.834785461425795</v>
      </c>
      <c r="AR5" s="9">
        <v>51.915287017822301</v>
      </c>
      <c r="AS5" s="9">
        <v>46.1747016906738</v>
      </c>
      <c r="AT5" s="9">
        <v>26.707401275634801</v>
      </c>
      <c r="AU5" s="9">
        <v>30.908008575439499</v>
      </c>
      <c r="AV5" s="9">
        <v>36.507854461669901</v>
      </c>
      <c r="AW5" s="9">
        <v>54.939254760742202</v>
      </c>
      <c r="AX5" s="9">
        <v>34.748317718505902</v>
      </c>
      <c r="AY5" s="9">
        <v>68.891426086425795</v>
      </c>
      <c r="AZ5" s="9">
        <v>91.4404296875</v>
      </c>
      <c r="BA5" s="9">
        <v>43.566551208496101</v>
      </c>
      <c r="BB5" s="9">
        <v>69.749961853027301</v>
      </c>
      <c r="BC5" s="9">
        <v>58.377399444580099</v>
      </c>
      <c r="BD5" s="9">
        <v>75.671806335449205</v>
      </c>
      <c r="BE5" s="9">
        <v>79.186798095703097</v>
      </c>
      <c r="BF5" s="9">
        <v>83.465515136718693</v>
      </c>
      <c r="BG5" s="9">
        <v>106.01255035400401</v>
      </c>
      <c r="BH5" s="9"/>
      <c r="BI5" s="9"/>
      <c r="BJ5" s="9"/>
      <c r="BK5" s="9"/>
      <c r="BL5" s="9"/>
      <c r="BM5" s="9"/>
      <c r="BN5" s="9"/>
      <c r="BO5" s="9"/>
      <c r="BP5" s="9"/>
    </row>
    <row r="6" spans="1:88" ht="16" x14ac:dyDescent="0.35">
      <c r="A6" s="6">
        <v>5</v>
      </c>
      <c r="B6" s="7" t="s">
        <v>72</v>
      </c>
      <c r="C6" s="2">
        <v>12.7892112731934</v>
      </c>
      <c r="D6" s="2">
        <v>13.5284099578857</v>
      </c>
      <c r="E6" s="8"/>
      <c r="F6" s="2">
        <v>12.621990203857401</v>
      </c>
      <c r="G6" s="9">
        <v>18.141838073730501</v>
      </c>
      <c r="H6" s="9"/>
      <c r="I6" s="9"/>
      <c r="J6" s="9">
        <v>38.958278656005902</v>
      </c>
      <c r="K6" s="9">
        <v>58.662197113037102</v>
      </c>
      <c r="L6" s="9">
        <v>25.575416564941399</v>
      </c>
      <c r="M6" s="9">
        <v>42.209564208984403</v>
      </c>
      <c r="N6" s="9">
        <v>49.5153617858887</v>
      </c>
      <c r="O6" s="9">
        <v>49.8304634094238</v>
      </c>
      <c r="P6" s="9">
        <v>31.4211330413818</v>
      </c>
      <c r="Q6" s="9">
        <v>69.849540710449205</v>
      </c>
      <c r="R6" s="9">
        <v>45.121181488037102</v>
      </c>
      <c r="S6" s="9">
        <v>54.274135589599602</v>
      </c>
      <c r="T6" s="9">
        <v>55.335750579833999</v>
      </c>
      <c r="U6" s="9">
        <v>54.822479248046903</v>
      </c>
      <c r="V6" s="9">
        <v>65.955772399902301</v>
      </c>
      <c r="W6" s="9">
        <v>46.391563415527301</v>
      </c>
      <c r="X6" s="9">
        <v>50.667915344238303</v>
      </c>
      <c r="Y6" s="9">
        <v>23.7274494171143</v>
      </c>
      <c r="Z6" s="9"/>
      <c r="AA6" s="9"/>
      <c r="AB6" s="9">
        <v>57.6141548156738</v>
      </c>
      <c r="AC6" s="9">
        <v>45.516490936279297</v>
      </c>
      <c r="AD6" s="9">
        <v>29.775648117065401</v>
      </c>
      <c r="AE6" s="9">
        <v>89.276641845703097</v>
      </c>
      <c r="AF6" s="9">
        <v>88.185096740722699</v>
      </c>
      <c r="AG6" s="9">
        <v>91.805946350097699</v>
      </c>
      <c r="AH6" s="9">
        <v>14.811759948730501</v>
      </c>
      <c r="AI6" s="9">
        <v>87.299125671386705</v>
      </c>
      <c r="AJ6" s="9">
        <v>78.515312194824205</v>
      </c>
      <c r="AK6" s="9">
        <v>21.403865814208999</v>
      </c>
      <c r="AL6" s="9">
        <v>48.459011077880902</v>
      </c>
      <c r="AM6" s="9">
        <v>28.0929775238037</v>
      </c>
      <c r="AN6" s="9">
        <v>16.577936172485401</v>
      </c>
      <c r="AO6" s="9">
        <v>36.045742034912102</v>
      </c>
      <c r="AP6" s="9">
        <v>52.439689636230497</v>
      </c>
      <c r="AQ6" s="9">
        <v>49.073009490966797</v>
      </c>
      <c r="AR6" s="9">
        <v>77.7445068359375</v>
      </c>
      <c r="AS6" s="9">
        <v>55.3618354797363</v>
      </c>
      <c r="AT6" s="9">
        <v>14.811759948730501</v>
      </c>
      <c r="AU6" s="9">
        <v>23.756313323974599</v>
      </c>
      <c r="AV6" s="9">
        <v>81.351615905761705</v>
      </c>
      <c r="AW6" s="9">
        <v>84.791069030761705</v>
      </c>
      <c r="AX6" s="9">
        <v>86.882713317871094</v>
      </c>
      <c r="AY6" s="9">
        <v>66.412956237792997</v>
      </c>
      <c r="AZ6" s="9">
        <v>204.09756469726599</v>
      </c>
      <c r="BA6" s="9"/>
      <c r="BB6" s="9">
        <v>15.371940612793001</v>
      </c>
      <c r="BC6" s="9"/>
      <c r="BD6" s="9">
        <v>7.7795243263244602</v>
      </c>
      <c r="BE6" s="9"/>
      <c r="BF6" s="9"/>
      <c r="BG6" s="9">
        <v>45.2884712219238</v>
      </c>
      <c r="BH6" s="9"/>
      <c r="BI6" s="9"/>
      <c r="BJ6" s="9"/>
      <c r="BK6" s="9"/>
      <c r="BL6" s="9"/>
      <c r="BM6" s="9"/>
      <c r="BN6" s="9"/>
      <c r="BO6" s="9"/>
      <c r="BP6" s="9"/>
    </row>
    <row r="7" spans="1:88" ht="16" x14ac:dyDescent="0.35">
      <c r="A7" s="6">
        <v>6</v>
      </c>
      <c r="B7" s="7" t="s">
        <v>73</v>
      </c>
      <c r="C7" s="2">
        <v>4.0901184082031197</v>
      </c>
      <c r="E7" s="8"/>
      <c r="G7" s="9"/>
      <c r="H7" s="9"/>
      <c r="I7" s="9">
        <v>68.858459472656193</v>
      </c>
      <c r="J7" s="9"/>
      <c r="K7" s="9"/>
      <c r="L7" s="9"/>
      <c r="M7" s="9"/>
      <c r="N7" s="9">
        <v>62.8673095703125</v>
      </c>
      <c r="O7" s="9">
        <v>10.782184600830099</v>
      </c>
      <c r="P7" s="9">
        <v>9.6171789169311506</v>
      </c>
      <c r="Q7" s="9">
        <v>8.2047882080078107</v>
      </c>
      <c r="R7" s="9">
        <v>7.7678079605102504</v>
      </c>
      <c r="S7" s="9">
        <v>13.131686210632299</v>
      </c>
      <c r="T7" s="9">
        <v>11.761681556701699</v>
      </c>
      <c r="U7" s="9">
        <v>9.1198101043701207</v>
      </c>
      <c r="V7" s="9"/>
      <c r="W7" s="9">
        <v>6.8815956115722701</v>
      </c>
      <c r="X7" s="9">
        <v>7.2787718772888201</v>
      </c>
      <c r="Y7" s="9">
        <v>7.2482128143310502</v>
      </c>
      <c r="Z7" s="9">
        <v>4.27191066741943</v>
      </c>
      <c r="AA7" s="9">
        <v>5.4965906143188503</v>
      </c>
      <c r="AB7" s="9">
        <v>63.3290405273438</v>
      </c>
      <c r="AC7" s="9">
        <v>10.9038181304932</v>
      </c>
      <c r="AD7" s="9">
        <v>7.5248255729675302</v>
      </c>
      <c r="AE7" s="9">
        <v>149.89161682128901</v>
      </c>
      <c r="AF7" s="9">
        <v>131.57905578613301</v>
      </c>
      <c r="AG7" s="9"/>
      <c r="AH7" s="9"/>
      <c r="AI7" s="9">
        <v>13.9783229827881</v>
      </c>
      <c r="AJ7" s="9"/>
      <c r="AK7" s="9"/>
      <c r="AL7" s="9"/>
      <c r="AM7" s="9">
        <v>22.0942993164063</v>
      </c>
      <c r="AN7" s="9"/>
      <c r="AO7" s="9">
        <v>116.81338500976599</v>
      </c>
      <c r="AP7" s="9">
        <v>98.761070251464801</v>
      </c>
      <c r="AQ7" s="9"/>
      <c r="AR7" s="9">
        <v>75.716285705566406</v>
      </c>
      <c r="AS7" s="9">
        <v>57.3727836608887</v>
      </c>
      <c r="AT7" s="9"/>
      <c r="AU7" s="9"/>
      <c r="AV7" s="9">
        <v>96.8729248046875</v>
      </c>
      <c r="AW7" s="9">
        <v>105.76862335205099</v>
      </c>
      <c r="AX7" s="9">
        <v>88.373008728027301</v>
      </c>
      <c r="AY7" s="9">
        <v>16.175542831420898</v>
      </c>
      <c r="AZ7" s="9">
        <v>19.170372009277301</v>
      </c>
      <c r="BA7" s="9">
        <v>7.7088475227356001</v>
      </c>
      <c r="BB7" s="9"/>
      <c r="BC7" s="9"/>
      <c r="BD7" s="9">
        <v>8.0692787170410192</v>
      </c>
      <c r="BE7" s="9">
        <v>6.0401148796081499</v>
      </c>
      <c r="BF7" s="9">
        <v>7.2576203346252397</v>
      </c>
      <c r="BG7" s="9">
        <v>9.30957126617432</v>
      </c>
      <c r="BH7" s="9"/>
      <c r="BI7" s="9"/>
      <c r="BJ7" s="9"/>
      <c r="BK7" s="9"/>
      <c r="BL7" s="9"/>
      <c r="BM7" s="9"/>
      <c r="BN7" s="9"/>
      <c r="BO7" s="9"/>
      <c r="BP7" s="9"/>
    </row>
    <row r="8" spans="1:88" ht="16" x14ac:dyDescent="0.35">
      <c r="A8" s="6">
        <v>7</v>
      </c>
      <c r="B8" s="7" t="s">
        <v>74</v>
      </c>
      <c r="C8" s="2">
        <v>0.59809666872024503</v>
      </c>
      <c r="E8" s="8"/>
      <c r="G8" s="9"/>
      <c r="H8" s="9"/>
      <c r="I8" s="9"/>
      <c r="J8" s="9"/>
      <c r="K8" s="9">
        <v>23.037635803222699</v>
      </c>
      <c r="L8" s="9"/>
      <c r="M8" s="9">
        <v>4.1837511062622097</v>
      </c>
      <c r="N8" s="9"/>
      <c r="O8" s="9">
        <v>18.0559177398682</v>
      </c>
      <c r="P8" s="9">
        <v>52.090160369872997</v>
      </c>
      <c r="Q8" s="9">
        <v>74.295745849609403</v>
      </c>
      <c r="R8" s="9">
        <v>14.656319618225099</v>
      </c>
      <c r="S8" s="9">
        <v>10.750286102294901</v>
      </c>
      <c r="T8" s="9">
        <v>39.222091674804702</v>
      </c>
      <c r="U8" s="9">
        <v>2.89942479133606</v>
      </c>
      <c r="V8" s="9">
        <v>103.84397888183599</v>
      </c>
      <c r="W8" s="9">
        <v>60.327327728271499</v>
      </c>
      <c r="X8" s="9">
        <v>95.609977722167997</v>
      </c>
      <c r="Y8" s="9"/>
      <c r="Z8" s="9"/>
      <c r="AA8" s="9"/>
      <c r="AB8" s="9"/>
      <c r="AC8" s="9">
        <v>37.806529998779297</v>
      </c>
      <c r="AD8" s="9">
        <v>25.6244506835938</v>
      </c>
      <c r="AE8" s="9">
        <v>6.7714080810546902</v>
      </c>
      <c r="AF8" s="9"/>
      <c r="AG8" s="9">
        <v>10.817588806152299</v>
      </c>
      <c r="AH8" s="9"/>
      <c r="AI8" s="9">
        <v>27.097303390502901</v>
      </c>
      <c r="AJ8" s="9">
        <v>28.434034347534201</v>
      </c>
      <c r="AK8" s="9"/>
      <c r="AL8" s="9"/>
      <c r="AM8" s="9">
        <v>123.949028015137</v>
      </c>
      <c r="AN8" s="9"/>
      <c r="AO8" s="9">
        <v>731.93035888671898</v>
      </c>
      <c r="AP8" s="9">
        <v>1134.60656738281</v>
      </c>
      <c r="AQ8" s="9">
        <v>11.0930833816528</v>
      </c>
      <c r="AR8" s="9">
        <v>77.871154785156193</v>
      </c>
      <c r="AS8" s="9">
        <v>84.594444274902301</v>
      </c>
      <c r="AT8" s="9"/>
      <c r="AU8" s="9"/>
      <c r="AV8" s="9">
        <v>40.486564636230497</v>
      </c>
      <c r="AW8" s="9">
        <v>11.0278367996216</v>
      </c>
      <c r="AX8" s="9">
        <v>10.7304735183716</v>
      </c>
      <c r="AY8" s="9">
        <v>28.787397384643601</v>
      </c>
      <c r="AZ8" s="9">
        <v>38.626029968261697</v>
      </c>
      <c r="BA8" s="9"/>
      <c r="BB8" s="9"/>
      <c r="BC8" s="9"/>
      <c r="BD8" s="9"/>
      <c r="BE8" s="9"/>
      <c r="BF8" s="9">
        <v>1.4000381231307999</v>
      </c>
      <c r="BG8" s="9"/>
      <c r="BH8" s="9"/>
      <c r="BI8" s="9"/>
      <c r="BJ8" s="9"/>
      <c r="BK8" s="9"/>
      <c r="BL8" s="9"/>
      <c r="BM8" s="9"/>
      <c r="BN8" s="9"/>
      <c r="BO8" s="9"/>
      <c r="BP8" s="9"/>
    </row>
    <row r="9" spans="1:88" ht="16" x14ac:dyDescent="0.35">
      <c r="A9" s="6">
        <v>8</v>
      </c>
      <c r="B9" s="7" t="s">
        <v>75</v>
      </c>
      <c r="C9" s="2">
        <v>2.2611439228057901</v>
      </c>
      <c r="D9" s="2">
        <v>2.7714810371398899</v>
      </c>
      <c r="E9" s="8">
        <v>2.3329493999481201</v>
      </c>
      <c r="F9" s="2">
        <v>2.0242223739624001</v>
      </c>
      <c r="G9" s="9">
        <v>2.8748512268066402</v>
      </c>
      <c r="H9" s="9">
        <v>2.96160912513733</v>
      </c>
      <c r="I9" s="9">
        <v>2.5774688720703098</v>
      </c>
      <c r="J9" s="9">
        <v>3.68791627883911</v>
      </c>
      <c r="K9" s="9">
        <v>4.8689918518066397</v>
      </c>
      <c r="L9" s="9">
        <v>2.0382544994354199</v>
      </c>
      <c r="M9" s="9">
        <v>2.3721683025360099</v>
      </c>
      <c r="N9" s="9">
        <v>1.6553488969802901</v>
      </c>
      <c r="O9" s="9">
        <v>2.1016864776611301</v>
      </c>
      <c r="P9" s="9">
        <v>1.67023813724518</v>
      </c>
      <c r="Q9" s="9">
        <v>3.2635622024536102</v>
      </c>
      <c r="R9" s="9">
        <v>2.4832878112793</v>
      </c>
      <c r="S9" s="9">
        <v>1.9918782711029099</v>
      </c>
      <c r="T9" s="9">
        <v>2.4852373600006099</v>
      </c>
      <c r="U9" s="9">
        <v>2.5202004909515399</v>
      </c>
      <c r="V9" s="9">
        <v>3.11323189735413</v>
      </c>
      <c r="W9" s="9">
        <v>3.1537921428680402</v>
      </c>
      <c r="X9" s="9">
        <v>2.5903737545013401</v>
      </c>
      <c r="Y9" s="9">
        <v>1.03623759746552</v>
      </c>
      <c r="Z9" s="9">
        <v>1.25954473018646</v>
      </c>
      <c r="AA9" s="9">
        <v>2.1205496788024898</v>
      </c>
      <c r="AB9" s="9">
        <v>1.8105002641677901</v>
      </c>
      <c r="AC9" s="9">
        <v>4.9805440902709996</v>
      </c>
      <c r="AD9" s="9">
        <v>2.6080520153045699</v>
      </c>
      <c r="AE9" s="9">
        <v>2.8679187297821001</v>
      </c>
      <c r="AF9" s="9">
        <v>2.1521196365356401</v>
      </c>
      <c r="AG9" s="9">
        <v>3.2219405174255402</v>
      </c>
      <c r="AH9" s="9">
        <v>2.3889174461364702</v>
      </c>
      <c r="AI9" s="9">
        <v>2.9476466178893999</v>
      </c>
      <c r="AJ9" s="9">
        <v>3.7618358135223402</v>
      </c>
      <c r="AK9" s="9">
        <v>3.2921609878539999</v>
      </c>
      <c r="AL9" s="9"/>
      <c r="AM9" s="9">
        <v>3.6789464950561501</v>
      </c>
      <c r="AN9" s="9">
        <v>1.3440417051315301</v>
      </c>
      <c r="AO9" s="9">
        <v>3.3854668140411399</v>
      </c>
      <c r="AP9" s="9">
        <v>3.2022395133972199</v>
      </c>
      <c r="AQ9" s="9">
        <v>2.3746030330657999</v>
      </c>
      <c r="AR9" s="9">
        <v>3.3399288654327401</v>
      </c>
      <c r="AS9" s="9">
        <v>3.66293096542358</v>
      </c>
      <c r="AT9" s="9">
        <v>2.3889174461364702</v>
      </c>
      <c r="AU9" s="9">
        <v>9.6554145812988299</v>
      </c>
      <c r="AV9" s="9">
        <v>5.0106477737426802</v>
      </c>
      <c r="AW9" s="9">
        <v>2.9298412799835201</v>
      </c>
      <c r="AX9" s="9">
        <v>3.40051198005676</v>
      </c>
      <c r="AY9" s="9">
        <v>2.7742884159088099</v>
      </c>
      <c r="AZ9" s="9">
        <v>3.7586028575897199</v>
      </c>
      <c r="BA9" s="9">
        <v>58.009220123291001</v>
      </c>
      <c r="BB9" s="9">
        <v>0.82771831750869795</v>
      </c>
      <c r="BC9" s="9">
        <v>1.8167039155960101</v>
      </c>
      <c r="BD9" s="9">
        <v>1.3828208446502701</v>
      </c>
      <c r="BE9" s="9">
        <v>1.48026978969574</v>
      </c>
      <c r="BF9" s="9">
        <v>2.9839730262756299</v>
      </c>
      <c r="BG9" s="9">
        <v>4.55576848983765</v>
      </c>
      <c r="BH9" s="9"/>
      <c r="BI9" s="9"/>
      <c r="BJ9" s="9"/>
      <c r="BK9" s="9"/>
      <c r="BL9" s="9"/>
      <c r="BM9" s="9"/>
      <c r="BN9" s="9"/>
      <c r="BO9" s="9"/>
      <c r="BP9" s="9"/>
    </row>
    <row r="10" spans="1:88" ht="16" x14ac:dyDescent="0.35">
      <c r="A10" s="6">
        <v>9</v>
      </c>
      <c r="B10" s="7" t="s">
        <v>76</v>
      </c>
      <c r="C10" s="2">
        <v>11.5222778320312</v>
      </c>
      <c r="D10" s="2">
        <v>53.351184844970703</v>
      </c>
      <c r="E10" s="8">
        <v>39.897323608398402</v>
      </c>
      <c r="F10" s="2">
        <v>15.399219512939499</v>
      </c>
      <c r="G10" s="9">
        <v>45.2681694030762</v>
      </c>
      <c r="H10" s="9">
        <v>5.0426797866821298</v>
      </c>
      <c r="I10" s="9">
        <v>28.988599777221701</v>
      </c>
      <c r="J10" s="9">
        <v>11.8831014633179</v>
      </c>
      <c r="K10" s="9">
        <v>29.824460983276399</v>
      </c>
      <c r="L10" s="9">
        <v>15.2136573791504</v>
      </c>
      <c r="M10" s="9">
        <v>21.725151062011701</v>
      </c>
      <c r="N10" s="9">
        <v>12.4063673019409</v>
      </c>
      <c r="O10" s="9">
        <v>63.406974792480497</v>
      </c>
      <c r="P10" s="9">
        <v>27.523908615112301</v>
      </c>
      <c r="Q10" s="9">
        <v>59.768840789794901</v>
      </c>
      <c r="R10" s="9">
        <v>73.381515502929702</v>
      </c>
      <c r="S10" s="9">
        <v>36.211032867431598</v>
      </c>
      <c r="T10" s="9">
        <v>59.5317993164063</v>
      </c>
      <c r="U10" s="9">
        <v>30.809766769409201</v>
      </c>
      <c r="V10" s="9">
        <v>60.245681762695298</v>
      </c>
      <c r="W10" s="9">
        <v>77.603866577148395</v>
      </c>
      <c r="X10" s="9">
        <v>63.681182861328097</v>
      </c>
      <c r="Y10" s="9"/>
      <c r="Z10" s="9">
        <v>10.0896291732788</v>
      </c>
      <c r="AA10" s="9"/>
      <c r="AB10" s="9">
        <v>64.696022033691406</v>
      </c>
      <c r="AC10" s="9">
        <v>120.12224578857401</v>
      </c>
      <c r="AD10" s="9">
        <v>44.727607727050803</v>
      </c>
      <c r="AE10" s="9">
        <v>37.546558380127003</v>
      </c>
      <c r="AF10" s="9">
        <v>31.1830959320068</v>
      </c>
      <c r="AG10" s="9">
        <v>46.935317993164098</v>
      </c>
      <c r="AH10" s="9">
        <v>2.70427274703979</v>
      </c>
      <c r="AI10" s="9">
        <v>33.540287017822301</v>
      </c>
      <c r="AJ10" s="9">
        <v>57.485633850097699</v>
      </c>
      <c r="AK10" s="9"/>
      <c r="AL10" s="9">
        <v>687.66259765625</v>
      </c>
      <c r="AM10" s="9">
        <v>59.5785102844238</v>
      </c>
      <c r="AN10" s="9"/>
      <c r="AO10" s="9">
        <v>34.268253326416001</v>
      </c>
      <c r="AP10" s="9">
        <v>48.372077941894503</v>
      </c>
      <c r="AQ10" s="9">
        <v>42.561473846435497</v>
      </c>
      <c r="AR10" s="9">
        <v>34.467857360839801</v>
      </c>
      <c r="AS10" s="9"/>
      <c r="AT10" s="9">
        <v>2.70427274703979</v>
      </c>
      <c r="AU10" s="9"/>
      <c r="AV10" s="9">
        <v>98.9771728515625</v>
      </c>
      <c r="AW10" s="9">
        <v>53.649936676025398</v>
      </c>
      <c r="AX10" s="9">
        <v>56.848217010497997</v>
      </c>
      <c r="AY10" s="9">
        <v>46.333244323730497</v>
      </c>
      <c r="AZ10" s="9">
        <v>71.220611572265597</v>
      </c>
      <c r="BA10" s="9">
        <v>19.752681732177699</v>
      </c>
      <c r="BB10" s="9">
        <v>10.9652767181396</v>
      </c>
      <c r="BC10" s="9">
        <v>24.127622604370099</v>
      </c>
      <c r="BD10" s="9">
        <v>27.814186096191399</v>
      </c>
      <c r="BE10" s="9">
        <v>7.2869329452514604</v>
      </c>
      <c r="BF10" s="9">
        <v>21.429832458496101</v>
      </c>
      <c r="BG10" s="9">
        <v>34.639389038085902</v>
      </c>
      <c r="BH10" s="9"/>
      <c r="BI10" s="9"/>
      <c r="BJ10" s="9"/>
      <c r="BK10" s="9"/>
      <c r="BL10" s="9"/>
      <c r="BM10" s="9"/>
      <c r="BN10" s="9"/>
      <c r="BO10" s="9"/>
      <c r="BP10" s="9"/>
    </row>
    <row r="11" spans="1:88" ht="16" x14ac:dyDescent="0.35">
      <c r="A11" s="6">
        <v>10</v>
      </c>
      <c r="B11" s="7" t="s">
        <v>77</v>
      </c>
      <c r="C11" s="2">
        <v>10.6342611312866</v>
      </c>
      <c r="D11" s="2">
        <v>92.393363952636705</v>
      </c>
      <c r="E11" s="8">
        <v>53.416683197021499</v>
      </c>
      <c r="F11" s="2">
        <v>14.4729223251343</v>
      </c>
      <c r="G11" s="9">
        <v>57.388011932372997</v>
      </c>
      <c r="H11" s="9">
        <v>14.103162765502899</v>
      </c>
      <c r="I11" s="9">
        <v>28.057308197021499</v>
      </c>
      <c r="J11" s="9">
        <v>10.8777980804443</v>
      </c>
      <c r="K11" s="9">
        <v>19.472539901733398</v>
      </c>
      <c r="L11" s="9">
        <v>11.8279523849487</v>
      </c>
      <c r="M11" s="9">
        <v>12.6859073638916</v>
      </c>
      <c r="N11" s="9">
        <v>14.071835517883301</v>
      </c>
      <c r="O11" s="9">
        <v>11.7968997955322</v>
      </c>
      <c r="P11" s="9">
        <v>7.2371883392334002</v>
      </c>
      <c r="Q11" s="9">
        <v>13.785849571228001</v>
      </c>
      <c r="R11" s="9">
        <v>17.779945373535199</v>
      </c>
      <c r="S11" s="9">
        <v>21.7146110534668</v>
      </c>
      <c r="T11" s="9">
        <v>30.811237335205099</v>
      </c>
      <c r="U11" s="9">
        <v>6.8767366409301802</v>
      </c>
      <c r="V11" s="9">
        <v>9.0194463729858398</v>
      </c>
      <c r="W11" s="9">
        <v>13.2293481826782</v>
      </c>
      <c r="X11" s="9">
        <v>11.2695112228394</v>
      </c>
      <c r="Y11" s="9">
        <v>5.1656575202941903</v>
      </c>
      <c r="Z11" s="9">
        <v>3.6986131668090798</v>
      </c>
      <c r="AA11" s="9">
        <v>4.80698537826538</v>
      </c>
      <c r="AB11" s="9">
        <v>14.4431600570679</v>
      </c>
      <c r="AC11" s="9"/>
      <c r="AD11" s="9">
        <v>5.8544473648071298</v>
      </c>
      <c r="AE11" s="9">
        <v>26.353279113769499</v>
      </c>
      <c r="AF11" s="9">
        <v>23.3928413391113</v>
      </c>
      <c r="AG11" s="9">
        <v>32.152721405029297</v>
      </c>
      <c r="AH11" s="9">
        <v>2.17428350448608</v>
      </c>
      <c r="AI11" s="9">
        <v>12.1767234802246</v>
      </c>
      <c r="AJ11" s="9">
        <v>12.035351753234901</v>
      </c>
      <c r="AK11" s="9">
        <v>144.79258728027301</v>
      </c>
      <c r="AL11" s="9">
        <v>1087.39196777344</v>
      </c>
      <c r="AM11" s="9">
        <v>18.9293613433838</v>
      </c>
      <c r="AN11" s="9">
        <v>31.174167633056602</v>
      </c>
      <c r="AO11" s="9">
        <v>20.8478393554688</v>
      </c>
      <c r="AP11" s="9">
        <v>24.6148166656494</v>
      </c>
      <c r="AQ11" s="9">
        <v>33.842464447021499</v>
      </c>
      <c r="AR11" s="9">
        <v>19.852157592773398</v>
      </c>
      <c r="AS11" s="9">
        <v>21.131423950195298</v>
      </c>
      <c r="AT11" s="9">
        <v>2.17428350448608</v>
      </c>
      <c r="AU11" s="9"/>
      <c r="AV11" s="9">
        <v>9.9820671081543004</v>
      </c>
      <c r="AW11" s="9">
        <v>31.1886196136475</v>
      </c>
      <c r="AX11" s="9">
        <v>33.989250183105497</v>
      </c>
      <c r="AY11" s="9">
        <v>37.156284332275398</v>
      </c>
      <c r="AZ11" s="9">
        <v>48.363945007324197</v>
      </c>
      <c r="BA11" s="9">
        <v>33.822727203369098</v>
      </c>
      <c r="BB11" s="9">
        <v>5.9266252517700204</v>
      </c>
      <c r="BC11" s="9">
        <v>10.187481880188001</v>
      </c>
      <c r="BD11" s="9">
        <v>8.2267131805419904</v>
      </c>
      <c r="BE11" s="9"/>
      <c r="BF11" s="9"/>
      <c r="BG11" s="9">
        <v>13.072486877441399</v>
      </c>
      <c r="BH11" s="9"/>
      <c r="BI11" s="9"/>
      <c r="BJ11" s="9"/>
      <c r="BK11" s="9"/>
      <c r="BL11" s="9"/>
      <c r="BM11" s="9"/>
      <c r="BN11" s="9"/>
      <c r="BO11" s="9"/>
      <c r="BP11" s="9"/>
    </row>
    <row r="12" spans="1:88" ht="16" x14ac:dyDescent="0.35">
      <c r="A12" s="6">
        <v>11</v>
      </c>
      <c r="B12" s="3" t="s">
        <v>78</v>
      </c>
      <c r="C12" s="2">
        <v>85.133361816406193</v>
      </c>
      <c r="D12" s="2">
        <v>135.27606201171901</v>
      </c>
      <c r="E12" s="8">
        <v>111.90334320068401</v>
      </c>
      <c r="F12" s="2">
        <v>91.356246948242202</v>
      </c>
      <c r="G12" s="9">
        <v>130.71890258789099</v>
      </c>
      <c r="H12" s="9">
        <v>108.370819091797</v>
      </c>
      <c r="I12" s="9">
        <v>131.400955200195</v>
      </c>
      <c r="J12" s="9">
        <v>230.96919250488301</v>
      </c>
      <c r="K12" s="9">
        <v>311.74914550781301</v>
      </c>
      <c r="L12" s="9">
        <v>150.93859863281199</v>
      </c>
      <c r="M12" s="9">
        <v>125.582893371582</v>
      </c>
      <c r="N12" s="9">
        <v>138.18064880371099</v>
      </c>
      <c r="O12" s="9">
        <v>84.888206481933594</v>
      </c>
      <c r="P12" s="9">
        <v>59.766803741455099</v>
      </c>
      <c r="Q12" s="9">
        <v>116.115036010742</v>
      </c>
      <c r="R12" s="9">
        <v>99.038024902343693</v>
      </c>
      <c r="S12" s="9">
        <v>130.82487487793</v>
      </c>
      <c r="T12" s="9">
        <v>147.76022338867199</v>
      </c>
      <c r="U12" s="9">
        <v>91.525863647460895</v>
      </c>
      <c r="V12" s="9">
        <v>79.876693725585895</v>
      </c>
      <c r="W12" s="9">
        <v>70.020492553710895</v>
      </c>
      <c r="X12" s="9">
        <v>77.622062683105497</v>
      </c>
      <c r="Y12" s="9">
        <v>38.062065124511697</v>
      </c>
      <c r="Z12" s="9">
        <v>39.241180419921903</v>
      </c>
      <c r="AA12" s="9">
        <v>26.099960327148398</v>
      </c>
      <c r="AB12" s="9">
        <v>34.224769592285199</v>
      </c>
      <c r="AC12" s="9">
        <v>194.43898010253901</v>
      </c>
      <c r="AD12" s="9">
        <v>77.297157287597699</v>
      </c>
      <c r="AE12" s="9">
        <v>326.32122802734398</v>
      </c>
      <c r="AF12" s="9">
        <v>326.54571533203102</v>
      </c>
      <c r="AG12" s="9">
        <v>187.33576965332</v>
      </c>
      <c r="AH12" s="9">
        <v>13.211421966552701</v>
      </c>
      <c r="AI12" s="9">
        <v>125.859573364258</v>
      </c>
      <c r="AJ12" s="9">
        <v>155.234451293945</v>
      </c>
      <c r="AK12" s="9">
        <v>192.62809753418</v>
      </c>
      <c r="AL12" s="9">
        <v>389.89471435546898</v>
      </c>
      <c r="AM12" s="9">
        <v>215.58848571777301</v>
      </c>
      <c r="AN12" s="9">
        <v>107.04776000976599</v>
      </c>
      <c r="AO12" s="9">
        <v>152.37060546875</v>
      </c>
      <c r="AP12" s="9">
        <v>205.79316711425801</v>
      </c>
      <c r="AQ12" s="9">
        <v>144.21693420410199</v>
      </c>
      <c r="AR12" s="9">
        <v>218.84568786621099</v>
      </c>
      <c r="AS12" s="9">
        <v>203.88856506347699</v>
      </c>
      <c r="AT12" s="9">
        <v>13.211421966552701</v>
      </c>
      <c r="AU12" s="9">
        <v>13.217794418335</v>
      </c>
      <c r="AV12" s="9">
        <v>334.82110595703102</v>
      </c>
      <c r="AW12" s="9">
        <v>256.42794799804699</v>
      </c>
      <c r="AX12" s="9">
        <v>297.03845214843801</v>
      </c>
      <c r="AY12" s="9">
        <v>234.55668640136699</v>
      </c>
      <c r="AZ12" s="9">
        <v>326.64849853515602</v>
      </c>
      <c r="BA12" s="9">
        <v>137.06741333007801</v>
      </c>
      <c r="BB12" s="9">
        <v>9.3067989349365199</v>
      </c>
      <c r="BC12" s="9">
        <v>14.3108911514282</v>
      </c>
      <c r="BD12" s="9">
        <v>9.5507755279540998</v>
      </c>
      <c r="BE12" s="9">
        <v>11.410790443420399</v>
      </c>
      <c r="BF12" s="9">
        <v>9.76946926116943</v>
      </c>
      <c r="BG12" s="9">
        <v>180.99282836914099</v>
      </c>
      <c r="BH12" s="9"/>
      <c r="BI12" s="9"/>
      <c r="BJ12" s="9"/>
      <c r="BK12" s="9"/>
      <c r="BL12" s="9"/>
      <c r="BM12" s="9"/>
      <c r="BN12" s="9"/>
      <c r="BO12" s="9"/>
      <c r="BP12" s="9"/>
    </row>
    <row r="13" spans="1:88" ht="16" x14ac:dyDescent="0.35">
      <c r="A13" s="6">
        <v>12</v>
      </c>
      <c r="B13" s="7" t="s">
        <v>79</v>
      </c>
      <c r="C13" s="2">
        <v>6.3348798751831099</v>
      </c>
      <c r="D13" s="2">
        <v>6.4503426551818803</v>
      </c>
      <c r="E13" s="8">
        <v>5.8128151893615696</v>
      </c>
      <c r="F13" s="2">
        <v>5.9814543724060103</v>
      </c>
      <c r="G13" s="9">
        <v>9.8836698532104492</v>
      </c>
      <c r="H13" s="9">
        <v>6.1029644012451199</v>
      </c>
      <c r="I13" s="9">
        <v>6.7521829605102504</v>
      </c>
      <c r="J13" s="9">
        <v>11.010766029357899</v>
      </c>
      <c r="K13" s="9">
        <v>18.762042999267599</v>
      </c>
      <c r="L13" s="9">
        <v>9.2106618881225604</v>
      </c>
      <c r="M13" s="9">
        <v>18.498737335205099</v>
      </c>
      <c r="N13" s="9">
        <v>19.062528610229499</v>
      </c>
      <c r="O13" s="9">
        <v>18.459775924682599</v>
      </c>
      <c r="P13" s="9">
        <v>19.799808502197301</v>
      </c>
      <c r="Q13" s="9">
        <v>26.388393402099599</v>
      </c>
      <c r="R13" s="9">
        <v>14.5314025878906</v>
      </c>
      <c r="S13" s="9">
        <v>18.207719802856399</v>
      </c>
      <c r="T13" s="9">
        <v>22.678077697753899</v>
      </c>
      <c r="U13" s="9">
        <v>19.244234085083001</v>
      </c>
      <c r="V13" s="9">
        <v>23.447656631469702</v>
      </c>
      <c r="W13" s="9">
        <v>22.518064498901399</v>
      </c>
      <c r="X13" s="9">
        <v>20.8944187164307</v>
      </c>
      <c r="Y13" s="9">
        <v>11.2706851959229</v>
      </c>
      <c r="Z13" s="9">
        <v>11.256495475769</v>
      </c>
      <c r="AA13" s="9">
        <v>11.64013671875</v>
      </c>
      <c r="AB13" s="9">
        <v>12.109875679016101</v>
      </c>
      <c r="AC13" s="9">
        <v>32.022483825683601</v>
      </c>
      <c r="AD13" s="9">
        <v>19.199071884155298</v>
      </c>
      <c r="AE13" s="9">
        <v>29.550495147705099</v>
      </c>
      <c r="AF13" s="9">
        <v>30.437923431396499</v>
      </c>
      <c r="AG13" s="9">
        <v>34.882270812988303</v>
      </c>
      <c r="AH13" s="9">
        <v>9.1934528350830096</v>
      </c>
      <c r="AI13" s="9">
        <v>19.1543292999268</v>
      </c>
      <c r="AJ13" s="9">
        <v>21.849281311035199</v>
      </c>
      <c r="AK13" s="9">
        <v>8.5182809829711896</v>
      </c>
      <c r="AL13" s="9">
        <v>7.2637219429016104</v>
      </c>
      <c r="AM13" s="9">
        <v>30.316667556762699</v>
      </c>
      <c r="AN13" s="9">
        <v>7.5690460205078098</v>
      </c>
      <c r="AO13" s="9">
        <v>58.965778350830099</v>
      </c>
      <c r="AP13" s="9">
        <v>66.432998657226605</v>
      </c>
      <c r="AQ13" s="9">
        <v>15.521643638610801</v>
      </c>
      <c r="AR13" s="9">
        <v>28.566053390502901</v>
      </c>
      <c r="AS13" s="9">
        <v>24.401390075683601</v>
      </c>
      <c r="AT13" s="9">
        <v>9.1934528350830096</v>
      </c>
      <c r="AU13" s="9">
        <v>8.4132413864135707</v>
      </c>
      <c r="AV13" s="9">
        <v>28.082569122314499</v>
      </c>
      <c r="AW13" s="9">
        <v>24.6997394561768</v>
      </c>
      <c r="AX13" s="9">
        <v>22.793987274169901</v>
      </c>
      <c r="AY13" s="9">
        <v>36.784881591796903</v>
      </c>
      <c r="AZ13" s="9">
        <v>36.522510528564503</v>
      </c>
      <c r="BA13" s="9">
        <v>29.320592880248999</v>
      </c>
      <c r="BB13" s="9">
        <v>12.9503364562988</v>
      </c>
      <c r="BC13" s="9">
        <v>19.418998718261701</v>
      </c>
      <c r="BD13" s="9">
        <v>15.561277389526399</v>
      </c>
      <c r="BE13" s="9">
        <v>13.136638641357401</v>
      </c>
      <c r="BF13" s="9">
        <v>18.874830245971701</v>
      </c>
      <c r="BG13" s="9">
        <v>11.5740423202515</v>
      </c>
      <c r="BH13" s="9"/>
      <c r="BI13" s="9"/>
      <c r="BJ13" s="9"/>
      <c r="BK13" s="9"/>
      <c r="BL13" s="9"/>
      <c r="BM13" s="16">
        <v>2.2755756378173801</v>
      </c>
      <c r="BN13" s="9"/>
      <c r="BO13" s="9"/>
      <c r="BP13" s="9">
        <v>2.57904148101807</v>
      </c>
    </row>
    <row r="14" spans="1:88" ht="16" x14ac:dyDescent="0.35">
      <c r="A14" s="6">
        <v>13</v>
      </c>
      <c r="B14" s="7" t="s">
        <v>80</v>
      </c>
      <c r="E14" s="8"/>
      <c r="G14" s="9">
        <v>0.33095189929008501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</row>
    <row r="15" spans="1:88" ht="16" x14ac:dyDescent="0.35">
      <c r="A15" s="6">
        <v>14</v>
      </c>
      <c r="B15" s="7" t="s">
        <v>81</v>
      </c>
      <c r="C15" s="2">
        <v>12.185753822326699</v>
      </c>
      <c r="D15" s="2">
        <v>16.472562789916999</v>
      </c>
      <c r="E15" s="8">
        <v>14.032696723938001</v>
      </c>
      <c r="F15" s="2">
        <v>13.0426578521729</v>
      </c>
      <c r="G15" s="9">
        <v>16.58913230896</v>
      </c>
      <c r="H15" s="9">
        <v>14.4072561264038</v>
      </c>
      <c r="I15" s="9">
        <v>15.2481899261475</v>
      </c>
      <c r="J15" s="9">
        <v>24.7025260925293</v>
      </c>
      <c r="K15" s="9">
        <v>36.315902709960902</v>
      </c>
      <c r="L15" s="9">
        <v>16.910881042480501</v>
      </c>
      <c r="M15" s="9">
        <v>29.2932224273682</v>
      </c>
      <c r="N15" s="9">
        <v>37.242671966552699</v>
      </c>
      <c r="O15" s="9">
        <v>24.8851318359375</v>
      </c>
      <c r="P15" s="9">
        <v>32.059169769287102</v>
      </c>
      <c r="Q15" s="9">
        <v>45.730747222900398</v>
      </c>
      <c r="R15" s="9">
        <v>19.7870979309082</v>
      </c>
      <c r="S15" s="9">
        <v>22.308425903320298</v>
      </c>
      <c r="T15" s="9">
        <v>39.723838806152301</v>
      </c>
      <c r="U15" s="9">
        <v>21.664028167724599</v>
      </c>
      <c r="V15" s="9">
        <v>42.978855133056598</v>
      </c>
      <c r="W15" s="9">
        <v>32.139472961425803</v>
      </c>
      <c r="X15" s="9">
        <v>37.886604309082003</v>
      </c>
      <c r="Y15" s="9">
        <v>12.166309356689499</v>
      </c>
      <c r="Z15" s="9">
        <v>7.5600509643554696</v>
      </c>
      <c r="AA15" s="9">
        <v>9.8203401565551793</v>
      </c>
      <c r="AB15" s="9">
        <v>9.6984481811523402</v>
      </c>
      <c r="AC15" s="9">
        <v>55.751766204833999</v>
      </c>
      <c r="AD15" s="9">
        <v>26.2507209777832</v>
      </c>
      <c r="AE15" s="9">
        <v>33.9129028320313</v>
      </c>
      <c r="AF15" s="9">
        <v>30.766492843627901</v>
      </c>
      <c r="AG15" s="9">
        <v>25.128087997436499</v>
      </c>
      <c r="AH15" s="9">
        <v>6.0451016426086399</v>
      </c>
      <c r="AI15" s="9">
        <v>26.925420761108398</v>
      </c>
      <c r="AJ15" s="9">
        <v>29.311754226684599</v>
      </c>
      <c r="AK15" s="9">
        <v>15.4402456283569</v>
      </c>
      <c r="AL15" s="9">
        <v>21.2943325042725</v>
      </c>
      <c r="AM15" s="9">
        <v>66.628807067871094</v>
      </c>
      <c r="AN15" s="9">
        <v>12.471300125122101</v>
      </c>
      <c r="AO15" s="9">
        <v>236.61375427246099</v>
      </c>
      <c r="AP15" s="9">
        <v>318.83990478515602</v>
      </c>
      <c r="AQ15" s="9">
        <v>24.049589157104499</v>
      </c>
      <c r="AR15" s="9">
        <v>59.740127563476598</v>
      </c>
      <c r="AS15" s="9">
        <v>50.325828552246101</v>
      </c>
      <c r="AT15" s="9">
        <v>6.0451016426086399</v>
      </c>
      <c r="AU15" s="9">
        <v>6.81634426116943</v>
      </c>
      <c r="AV15" s="9">
        <v>29.447818756103501</v>
      </c>
      <c r="AW15" s="9">
        <v>25.9626560211182</v>
      </c>
      <c r="AX15" s="9">
        <v>30.280796051025401</v>
      </c>
      <c r="AY15" s="9">
        <v>60.518718719482401</v>
      </c>
      <c r="AZ15" s="9">
        <v>69.007118225097699</v>
      </c>
      <c r="BA15" s="9">
        <v>59.287166595458999</v>
      </c>
      <c r="BB15" s="9">
        <v>11.368624687194799</v>
      </c>
      <c r="BC15" s="9">
        <v>14.9650726318359</v>
      </c>
      <c r="BD15" s="9">
        <v>13.024248123168899</v>
      </c>
      <c r="BE15" s="9">
        <v>12.3283338546753</v>
      </c>
      <c r="BF15" s="9">
        <v>13.477659225463899</v>
      </c>
      <c r="BG15" s="9">
        <v>22.441190719604499</v>
      </c>
      <c r="BH15" s="9"/>
      <c r="BI15" s="9"/>
      <c r="BJ15" s="9"/>
      <c r="BK15" s="9"/>
      <c r="BL15" s="9"/>
      <c r="BM15" s="9"/>
      <c r="BN15" s="9"/>
      <c r="BO15" s="9"/>
      <c r="BP15" s="9">
        <v>3.2798476219177202</v>
      </c>
    </row>
    <row r="16" spans="1:88" ht="16" x14ac:dyDescent="0.35">
      <c r="A16" s="6">
        <v>15</v>
      </c>
      <c r="B16" s="7" t="s">
        <v>82</v>
      </c>
      <c r="C16" s="2">
        <v>8.3367605209350604</v>
      </c>
      <c r="D16" s="2">
        <v>9.8371677398681605</v>
      </c>
      <c r="E16" s="8">
        <v>8.7451000213622994</v>
      </c>
      <c r="F16" s="2">
        <v>8.2056512832641602</v>
      </c>
      <c r="G16" s="9">
        <v>14.1994066238403</v>
      </c>
      <c r="H16" s="9">
        <v>9.3961553573608398</v>
      </c>
      <c r="I16" s="9">
        <v>11.7773447036743</v>
      </c>
      <c r="J16" s="9"/>
      <c r="K16" s="9"/>
      <c r="L16" s="9"/>
      <c r="M16" s="9">
        <v>50.878528594970703</v>
      </c>
      <c r="N16" s="9">
        <v>53.882484436035199</v>
      </c>
      <c r="O16" s="9">
        <v>18.841142654418899</v>
      </c>
      <c r="P16" s="9">
        <v>13.5802764892578</v>
      </c>
      <c r="Q16" s="9">
        <v>43.959007263183601</v>
      </c>
      <c r="R16" s="9">
        <v>31.9779872894287</v>
      </c>
      <c r="S16" s="9">
        <v>57.3607368469238</v>
      </c>
      <c r="T16" s="9">
        <v>73.216354370117202</v>
      </c>
      <c r="U16" s="9">
        <v>18.140518188476602</v>
      </c>
      <c r="V16" s="9">
        <v>22.664365768432599</v>
      </c>
      <c r="W16" s="9">
        <v>14.2299909591675</v>
      </c>
      <c r="X16" s="9">
        <v>16.838659286498999</v>
      </c>
      <c r="Y16" s="9">
        <v>10.757861137390099</v>
      </c>
      <c r="Z16" s="9">
        <v>7.8626174926757804</v>
      </c>
      <c r="AA16" s="9">
        <v>10.6310424804687</v>
      </c>
      <c r="AB16" s="9">
        <v>8.6095314025878906</v>
      </c>
      <c r="AC16" s="9">
        <v>29.887191772460898</v>
      </c>
      <c r="AD16" s="9">
        <v>23.117063522338899</v>
      </c>
      <c r="AE16" s="9">
        <v>61.089107513427699</v>
      </c>
      <c r="AF16" s="9">
        <v>51.822055816650398</v>
      </c>
      <c r="AG16" s="9">
        <v>91.810867309570298</v>
      </c>
      <c r="AH16" s="9">
        <v>4.3459963798522896</v>
      </c>
      <c r="AI16" s="9">
        <v>35.5525512695313</v>
      </c>
      <c r="AJ16" s="9">
        <v>42.879043579101598</v>
      </c>
      <c r="AK16" s="9">
        <v>16.8557243347168</v>
      </c>
      <c r="AL16" s="9">
        <v>21.954395294189499</v>
      </c>
      <c r="AM16" s="9">
        <v>38.359493255615199</v>
      </c>
      <c r="AN16" s="9">
        <v>11.9892673492432</v>
      </c>
      <c r="AO16" s="9">
        <v>27.0250358581543</v>
      </c>
      <c r="AP16" s="9">
        <v>39.662418365478501</v>
      </c>
      <c r="AQ16" s="9">
        <v>19.3285236358643</v>
      </c>
      <c r="AR16" s="9">
        <v>10.5009574890137</v>
      </c>
      <c r="AS16" s="9">
        <v>2.1903977394103999</v>
      </c>
      <c r="AT16" s="9">
        <v>4.3459963798522896</v>
      </c>
      <c r="AU16" s="9">
        <v>7.4122838973998997</v>
      </c>
      <c r="AV16" s="9">
        <v>87.951919555664105</v>
      </c>
      <c r="AW16" s="9">
        <v>60.274726867675803</v>
      </c>
      <c r="AX16" s="9">
        <v>62.536331176757798</v>
      </c>
      <c r="AY16" s="9">
        <v>50.852523803710902</v>
      </c>
      <c r="AZ16" s="9">
        <v>67.371398925781193</v>
      </c>
      <c r="BA16" s="9"/>
      <c r="BB16" s="9">
        <v>2.82856225967407</v>
      </c>
      <c r="BC16" s="9">
        <v>2.6193985939025901</v>
      </c>
      <c r="BD16" s="9">
        <v>5.1851086616516104</v>
      </c>
      <c r="BE16" s="9">
        <v>2.4551203250885001</v>
      </c>
      <c r="BF16" s="9">
        <v>5.0466046333312997</v>
      </c>
      <c r="BG16" s="9"/>
      <c r="BH16" s="9"/>
      <c r="BI16" s="9"/>
      <c r="BJ16" s="9"/>
      <c r="BK16" s="9"/>
      <c r="BL16" s="9"/>
      <c r="BM16" s="9"/>
      <c r="BN16" s="9"/>
      <c r="BO16" s="9"/>
      <c r="BP16" s="9"/>
    </row>
    <row r="17" spans="1:68" ht="16" x14ac:dyDescent="0.35">
      <c r="A17" s="6">
        <v>16</v>
      </c>
      <c r="B17" s="7" t="s">
        <v>83</v>
      </c>
      <c r="C17" s="2">
        <v>2.1493711471557599</v>
      </c>
      <c r="D17" s="2">
        <v>3.3124098777771001</v>
      </c>
      <c r="E17" s="8">
        <v>2.6356360912322998</v>
      </c>
      <c r="F17" s="2">
        <v>2.3019378185272199</v>
      </c>
      <c r="G17" s="9">
        <v>3.0076885223388699</v>
      </c>
      <c r="H17" s="9">
        <v>2.8546960353851301</v>
      </c>
      <c r="I17" s="9">
        <v>2.4744415283203098</v>
      </c>
      <c r="J17" s="9">
        <v>6.0124368667602504</v>
      </c>
      <c r="K17" s="9">
        <v>12.5954809188843</v>
      </c>
      <c r="L17" s="9">
        <v>4.9674873352050799</v>
      </c>
      <c r="M17" s="9">
        <v>15.1400394439697</v>
      </c>
      <c r="N17" s="9">
        <v>16.152135848998999</v>
      </c>
      <c r="O17" s="9">
        <v>8.6907281875610405</v>
      </c>
      <c r="P17" s="9">
        <v>15.5315713882446</v>
      </c>
      <c r="Q17" s="9">
        <v>19.7447605133057</v>
      </c>
      <c r="R17" s="9">
        <v>8.1159105300903303</v>
      </c>
      <c r="S17" s="9">
        <v>10.8648567199707</v>
      </c>
      <c r="T17" s="9">
        <v>19.23020362854</v>
      </c>
      <c r="U17" s="9">
        <v>12.0944910049438</v>
      </c>
      <c r="V17" s="9">
        <v>15.5313396453857</v>
      </c>
      <c r="W17" s="9">
        <v>13.6873836517334</v>
      </c>
      <c r="X17" s="9">
        <v>16.583570480346701</v>
      </c>
      <c r="Y17" s="9">
        <v>4.3996634483337402</v>
      </c>
      <c r="Z17" s="9">
        <v>4.9361476898193404</v>
      </c>
      <c r="AA17" s="9">
        <v>4.1481523513793901</v>
      </c>
      <c r="AB17" s="9">
        <v>4.9670648574829102</v>
      </c>
      <c r="AC17" s="9">
        <v>22.835695266723601</v>
      </c>
      <c r="AD17" s="9">
        <v>12.678092956543001</v>
      </c>
      <c r="AE17" s="9">
        <v>16.7733554840088</v>
      </c>
      <c r="AF17" s="9">
        <v>19.179510116577099</v>
      </c>
      <c r="AG17" s="9">
        <v>13.045799255371101</v>
      </c>
      <c r="AH17" s="9">
        <v>3.6627771854400599</v>
      </c>
      <c r="AI17" s="9">
        <v>15.711912155151399</v>
      </c>
      <c r="AJ17" s="9">
        <v>23.133752822876001</v>
      </c>
      <c r="AK17" s="9">
        <v>3.71008253097534</v>
      </c>
      <c r="AL17" s="9">
        <v>4.8616862297058097</v>
      </c>
      <c r="AM17" s="9">
        <v>50.357284545898402</v>
      </c>
      <c r="AN17" s="9">
        <v>4.1304259300231898</v>
      </c>
      <c r="AO17" s="9">
        <v>109.313446044922</v>
      </c>
      <c r="AP17" s="9">
        <v>136.40028381347699</v>
      </c>
      <c r="AQ17" s="9">
        <v>11.567304611206101</v>
      </c>
      <c r="AR17" s="9">
        <v>28.1774387359619</v>
      </c>
      <c r="AS17" s="9">
        <v>24.626848220825199</v>
      </c>
      <c r="AT17" s="9">
        <v>3.6627771854400599</v>
      </c>
      <c r="AU17" s="9">
        <v>3.2752854824066202</v>
      </c>
      <c r="AV17" s="9">
        <v>16.184484481811499</v>
      </c>
      <c r="AW17" s="9">
        <v>16.89377784729</v>
      </c>
      <c r="AX17" s="9">
        <v>13.9936122894287</v>
      </c>
      <c r="AY17" s="9">
        <v>29.613283157348601</v>
      </c>
      <c r="AZ17" s="9">
        <v>27.8708400726318</v>
      </c>
      <c r="BA17" s="9">
        <v>15.754187583923301</v>
      </c>
      <c r="BB17" s="9">
        <v>6.6278853416442898</v>
      </c>
      <c r="BC17" s="9">
        <v>8.5038919448852504</v>
      </c>
      <c r="BD17" s="9">
        <v>7.8229928016662598</v>
      </c>
      <c r="BE17" s="9">
        <v>4.5750384330749503</v>
      </c>
      <c r="BF17" s="9">
        <v>6.7506179809570304</v>
      </c>
      <c r="BG17" s="9">
        <v>7.4026150703430202</v>
      </c>
      <c r="BH17" s="9"/>
      <c r="BI17" s="9"/>
      <c r="BJ17" s="9"/>
      <c r="BK17" s="9"/>
      <c r="BL17" s="9"/>
      <c r="BM17" s="9"/>
      <c r="BN17" s="9"/>
      <c r="BO17" s="9"/>
      <c r="BP17" s="9">
        <v>0.52103042602539096</v>
      </c>
    </row>
    <row r="18" spans="1:68" ht="16" x14ac:dyDescent="0.35">
      <c r="A18" s="6">
        <v>17</v>
      </c>
      <c r="B18" s="3" t="s">
        <v>84</v>
      </c>
      <c r="D18" s="2">
        <v>0.85421353578567505</v>
      </c>
      <c r="E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</row>
    <row r="19" spans="1:68" ht="16" x14ac:dyDescent="0.35">
      <c r="A19" s="6">
        <v>18</v>
      </c>
      <c r="B19" s="7" t="s">
        <v>85</v>
      </c>
      <c r="C19" s="2">
        <v>2.8092060089111301</v>
      </c>
      <c r="E19" s="8"/>
      <c r="F19" s="2">
        <v>1.7503581047058101</v>
      </c>
      <c r="G19" s="9">
        <v>2.37249684333801</v>
      </c>
      <c r="H19" s="9"/>
      <c r="I19" s="9">
        <v>1.7214649915695199</v>
      </c>
      <c r="J19" s="9"/>
      <c r="K19" s="9"/>
      <c r="L19" s="9"/>
      <c r="M19" s="9">
        <v>12.4946031570435</v>
      </c>
      <c r="N19" s="9">
        <v>11.990415573120099</v>
      </c>
      <c r="O19" s="9">
        <v>3.84098219871521</v>
      </c>
      <c r="P19" s="9">
        <v>4.4756641387939498</v>
      </c>
      <c r="Q19" s="9">
        <v>23.887556076049801</v>
      </c>
      <c r="R19" s="9">
        <v>8.0505170822143608</v>
      </c>
      <c r="S19" s="9">
        <v>3.3944110870361301</v>
      </c>
      <c r="T19" s="9">
        <v>6.5444130897521999</v>
      </c>
      <c r="U19" s="9">
        <v>11.4319114685059</v>
      </c>
      <c r="V19" s="9"/>
      <c r="W19" s="9">
        <v>12.7664175033569</v>
      </c>
      <c r="X19" s="9">
        <v>5.3240075111389196</v>
      </c>
      <c r="Y19" s="9"/>
      <c r="Z19" s="9">
        <v>1.29603123664856</v>
      </c>
      <c r="AA19" s="9">
        <v>4.0585074424743697</v>
      </c>
      <c r="AB19" s="9"/>
      <c r="AC19" s="9">
        <v>7.1797556877136204</v>
      </c>
      <c r="AD19" s="9">
        <v>4.4541244506835902</v>
      </c>
      <c r="AE19" s="9"/>
      <c r="AF19" s="9"/>
      <c r="AG19" s="9"/>
      <c r="AH19" s="9"/>
      <c r="AI19" s="9">
        <v>82.786193847656193</v>
      </c>
      <c r="AJ19" s="9">
        <v>47.772003173828097</v>
      </c>
      <c r="AK19" s="9">
        <v>4.9200401306152299</v>
      </c>
      <c r="AL19" s="9"/>
      <c r="AM19" s="9"/>
      <c r="AN19" s="9">
        <v>4.3981609344482404</v>
      </c>
      <c r="AO19" s="9"/>
      <c r="AP19" s="9"/>
      <c r="AQ19" s="9">
        <v>6.15885353088379</v>
      </c>
      <c r="AR19" s="9">
        <v>26.462465286254901</v>
      </c>
      <c r="AS19" s="9">
        <v>68.841346740722699</v>
      </c>
      <c r="AT19" s="9"/>
      <c r="AU19" s="9"/>
      <c r="AV19" s="9">
        <v>8.6818056106567401</v>
      </c>
      <c r="AW19" s="9">
        <v>16.800298690795898</v>
      </c>
      <c r="AX19" s="9"/>
      <c r="AY19" s="9">
        <v>13.1603784561157</v>
      </c>
      <c r="AZ19" s="9">
        <v>17.6283264160156</v>
      </c>
      <c r="BA19" s="9">
        <v>6.1426978111267099</v>
      </c>
      <c r="BB19" s="9">
        <v>6.79152584075928</v>
      </c>
      <c r="BC19" s="9">
        <v>2.69469165802002</v>
      </c>
      <c r="BD19" s="9">
        <v>2.7256107330322301</v>
      </c>
      <c r="BE19" s="9">
        <v>3.0457918643951398</v>
      </c>
      <c r="BF19" s="9">
        <v>1.4360055923461901</v>
      </c>
      <c r="BG19" s="9"/>
      <c r="BH19" s="9"/>
      <c r="BI19" s="9"/>
      <c r="BJ19" s="9"/>
      <c r="BK19" s="9"/>
      <c r="BL19" s="9"/>
      <c r="BM19" s="9"/>
      <c r="BN19" s="9"/>
      <c r="BO19" s="9"/>
      <c r="BP19" s="9"/>
    </row>
    <row r="20" spans="1:68" ht="16" x14ac:dyDescent="0.35">
      <c r="A20" s="6">
        <v>19</v>
      </c>
      <c r="B20" s="3" t="s">
        <v>86</v>
      </c>
      <c r="D20" s="2">
        <v>2.8414058685302699</v>
      </c>
      <c r="E20" s="8"/>
      <c r="F20" s="2">
        <v>2.7072677612304701</v>
      </c>
      <c r="G20" s="9">
        <v>5.3577394485473597</v>
      </c>
      <c r="H20" s="9">
        <v>1.7196748256683301</v>
      </c>
      <c r="I20" s="9">
        <v>9.7761135101318395</v>
      </c>
      <c r="J20" s="9">
        <v>7.8829092979431197</v>
      </c>
      <c r="K20" s="9">
        <v>9.7747249603271502</v>
      </c>
      <c r="L20" s="9">
        <v>5.5388526916503897</v>
      </c>
      <c r="M20" s="9">
        <v>34.751247406005902</v>
      </c>
      <c r="N20" s="9">
        <v>33.832359313964801</v>
      </c>
      <c r="O20" s="9">
        <v>13.675219535827599</v>
      </c>
      <c r="P20" s="9">
        <v>13.393735885620099</v>
      </c>
      <c r="Q20" s="9">
        <v>23.096000671386701</v>
      </c>
      <c r="R20" s="9">
        <v>12.755140304565399</v>
      </c>
      <c r="S20" s="9">
        <v>16.4058628082275</v>
      </c>
      <c r="T20" s="9">
        <v>24.357793807983398</v>
      </c>
      <c r="U20" s="9">
        <v>11.890851974487299</v>
      </c>
      <c r="V20" s="9"/>
      <c r="W20" s="9">
        <v>12.2497253417969</v>
      </c>
      <c r="X20" s="9">
        <v>12.754355430603001</v>
      </c>
      <c r="Y20" s="9">
        <v>2.28631663322449</v>
      </c>
      <c r="Z20" s="9">
        <v>5.8599328994751003</v>
      </c>
      <c r="AA20" s="9">
        <v>0.97534275054931596</v>
      </c>
      <c r="AB20" s="9">
        <v>1.8675074577331501</v>
      </c>
      <c r="AC20" s="9">
        <v>24.762546539306602</v>
      </c>
      <c r="AD20" s="9">
        <v>14.3968458175659</v>
      </c>
      <c r="AE20" s="9">
        <v>67.223396301269503</v>
      </c>
      <c r="AF20" s="9">
        <v>61.999824523925803</v>
      </c>
      <c r="AG20" s="9">
        <v>55.9261474609375</v>
      </c>
      <c r="AH20" s="9">
        <v>1.1576782464981099</v>
      </c>
      <c r="AI20" s="9"/>
      <c r="AJ20" s="9">
        <v>133.070877075195</v>
      </c>
      <c r="AK20" s="9">
        <v>17.9991359710693</v>
      </c>
      <c r="AL20" s="9">
        <v>6.3451657295227104</v>
      </c>
      <c r="AM20" s="9">
        <v>272.87094116210898</v>
      </c>
      <c r="AN20" s="9">
        <v>11.478497505188001</v>
      </c>
      <c r="AO20" s="9">
        <v>78.672996520996094</v>
      </c>
      <c r="AP20" s="9">
        <v>44.464473724365199</v>
      </c>
      <c r="AQ20" s="9">
        <v>22.160373687744102</v>
      </c>
      <c r="AR20" s="9">
        <v>89.634803771972699</v>
      </c>
      <c r="AS20" s="9">
        <v>71.219161987304702</v>
      </c>
      <c r="AT20" s="9">
        <v>1.1576782464981099</v>
      </c>
      <c r="AU20" s="9">
        <v>1.0802907943725599</v>
      </c>
      <c r="AV20" s="9">
        <v>15.497582435607899</v>
      </c>
      <c r="AW20" s="9">
        <v>45.6777153015137</v>
      </c>
      <c r="AX20" s="9">
        <v>41.912071228027301</v>
      </c>
      <c r="AY20" s="9">
        <v>41.207839965820298</v>
      </c>
      <c r="AZ20" s="9">
        <v>57.924278259277301</v>
      </c>
      <c r="BA20" s="9">
        <v>3.0714848041534402</v>
      </c>
      <c r="BB20" s="9">
        <v>2.7709002494811998</v>
      </c>
      <c r="BC20" s="9">
        <v>5.7736001014709499</v>
      </c>
      <c r="BD20" s="9">
        <v>8.1551427841186506</v>
      </c>
      <c r="BE20" s="9">
        <v>1.26494860649109</v>
      </c>
      <c r="BF20" s="9"/>
      <c r="BG20" s="9">
        <v>3.3550927639007599</v>
      </c>
      <c r="BH20" s="9"/>
      <c r="BI20" s="9"/>
      <c r="BJ20" s="9"/>
      <c r="BK20" s="9"/>
      <c r="BL20" s="9"/>
      <c r="BM20" s="9"/>
      <c r="BN20" s="9"/>
      <c r="BO20" s="9"/>
      <c r="BP20" s="9"/>
    </row>
    <row r="21" spans="1:68" ht="16" x14ac:dyDescent="0.35">
      <c r="A21" s="6">
        <v>20</v>
      </c>
      <c r="B21" s="3" t="s">
        <v>87</v>
      </c>
      <c r="C21" s="2">
        <v>4.1244401931762704</v>
      </c>
      <c r="D21" s="2">
        <v>5.4774451255798304</v>
      </c>
      <c r="E21" s="8">
        <v>4.5893440246581996</v>
      </c>
      <c r="F21" s="2">
        <v>5.08233642578125</v>
      </c>
      <c r="G21" s="9"/>
      <c r="H21" s="9">
        <v>5.2774186134338397</v>
      </c>
      <c r="I21" s="9">
        <v>6.8026809692382804</v>
      </c>
      <c r="J21" s="9">
        <v>18.495584487915</v>
      </c>
      <c r="K21" s="9">
        <v>26.352127075195298</v>
      </c>
      <c r="L21" s="9">
        <v>13.573753356933601</v>
      </c>
      <c r="M21" s="9">
        <v>52.547874450683601</v>
      </c>
      <c r="N21" s="9">
        <v>55.938430786132798</v>
      </c>
      <c r="O21" s="9">
        <v>14.596865653991699</v>
      </c>
      <c r="P21" s="9">
        <v>14.6491432189941</v>
      </c>
      <c r="Q21" s="9"/>
      <c r="R21" s="9">
        <v>4.20715284347534</v>
      </c>
      <c r="S21" s="9">
        <v>13.920518875122101</v>
      </c>
      <c r="T21" s="9">
        <v>26.061244964599599</v>
      </c>
      <c r="U21" s="9"/>
      <c r="V21" s="9">
        <v>19.280733108520501</v>
      </c>
      <c r="W21" s="9"/>
      <c r="X21" s="9">
        <v>17.699466705322301</v>
      </c>
      <c r="Y21" s="9">
        <v>6.4596104621887198</v>
      </c>
      <c r="Z21" s="9">
        <v>5.3913283348083496</v>
      </c>
      <c r="AA21" s="9">
        <v>1.7143782377243</v>
      </c>
      <c r="AB21" s="9">
        <v>4.7927317619323704</v>
      </c>
      <c r="AC21" s="9">
        <v>27.931118011474599</v>
      </c>
      <c r="AD21" s="9">
        <v>15.2441349029541</v>
      </c>
      <c r="AE21" s="9">
        <v>114.84275817871099</v>
      </c>
      <c r="AF21" s="9">
        <v>97.537712097167997</v>
      </c>
      <c r="AG21" s="9">
        <v>83.474662780761705</v>
      </c>
      <c r="AH21" s="9">
        <v>2.4036941528320299</v>
      </c>
      <c r="AI21" s="9">
        <v>25.0028781890869</v>
      </c>
      <c r="AJ21" s="9">
        <v>197.11000061035199</v>
      </c>
      <c r="AK21" s="9">
        <v>15.963121414184601</v>
      </c>
      <c r="AL21" s="9">
        <v>23.902063369751001</v>
      </c>
      <c r="AM21" s="9">
        <v>452.01211547851602</v>
      </c>
      <c r="AN21" s="9">
        <v>13.9958086013794</v>
      </c>
      <c r="AO21" s="9">
        <v>311.46047973632801</v>
      </c>
      <c r="AP21" s="9"/>
      <c r="AQ21" s="9">
        <v>19.663181304931602</v>
      </c>
      <c r="AR21" s="9">
        <v>108.01992797851599</v>
      </c>
      <c r="AS21" s="9"/>
      <c r="AT21" s="9">
        <v>2.4036941528320299</v>
      </c>
      <c r="AU21" s="9">
        <v>3.51269459724426</v>
      </c>
      <c r="AV21" s="9">
        <v>24.090866088867202</v>
      </c>
      <c r="AW21" s="9">
        <v>63.486240386962898</v>
      </c>
      <c r="AX21" s="9">
        <v>64.896568298339801</v>
      </c>
      <c r="AY21" s="9">
        <v>54.229465484619098</v>
      </c>
      <c r="AZ21" s="9"/>
      <c r="BA21" s="9">
        <v>3.0174357891082799</v>
      </c>
      <c r="BB21" s="9">
        <v>2.7361927032470699</v>
      </c>
      <c r="BC21" s="9">
        <v>10.392689704895</v>
      </c>
      <c r="BD21" s="9">
        <v>8.6409378051757795</v>
      </c>
      <c r="BE21" s="9">
        <v>2.05783891677856</v>
      </c>
      <c r="BF21" s="9">
        <v>6.1921625137329102</v>
      </c>
      <c r="BG21" s="9">
        <v>9.1963119506835902</v>
      </c>
      <c r="BH21" s="9"/>
      <c r="BI21" s="9"/>
      <c r="BJ21" s="9"/>
      <c r="BK21" s="9"/>
      <c r="BL21" s="9"/>
      <c r="BM21" s="9"/>
      <c r="BN21" s="9"/>
      <c r="BO21" s="9"/>
      <c r="BP21" s="9"/>
    </row>
    <row r="22" spans="1:68" ht="16" x14ac:dyDescent="0.35">
      <c r="A22" s="6">
        <v>21</v>
      </c>
      <c r="B22" s="7" t="s">
        <v>88</v>
      </c>
      <c r="C22" s="2">
        <v>4.84267234802246</v>
      </c>
      <c r="D22" s="2">
        <v>8.0483207702636701</v>
      </c>
      <c r="E22" s="8">
        <v>6.2857084274292001</v>
      </c>
      <c r="F22" s="2">
        <v>6.1224570274353001</v>
      </c>
      <c r="G22" s="9">
        <v>9.1504154205322301</v>
      </c>
      <c r="H22" s="9">
        <v>8.7457647323608398</v>
      </c>
      <c r="I22" s="9">
        <v>7.9116334915161097</v>
      </c>
      <c r="J22" s="9">
        <v>17.745134353637699</v>
      </c>
      <c r="K22" s="9">
        <v>21.980768203735401</v>
      </c>
      <c r="L22" s="9">
        <v>13.4632654190063</v>
      </c>
      <c r="M22" s="9">
        <v>8.5337791442871094</v>
      </c>
      <c r="N22" s="9">
        <v>13.1231145858765</v>
      </c>
      <c r="O22" s="9">
        <v>8.4771957397460902</v>
      </c>
      <c r="P22" s="9">
        <v>9.5072765350341797</v>
      </c>
      <c r="Q22" s="9">
        <v>9.0684776306152308</v>
      </c>
      <c r="R22" s="9">
        <v>6.2288031578064</v>
      </c>
      <c r="S22" s="9">
        <v>12.0710611343384</v>
      </c>
      <c r="T22" s="9">
        <v>10.1575155258179</v>
      </c>
      <c r="U22" s="9">
        <v>5.8269677162170401</v>
      </c>
      <c r="V22" s="9">
        <v>6.1794385910034197</v>
      </c>
      <c r="W22" s="9">
        <v>6.4867672920227104</v>
      </c>
      <c r="X22" s="9">
        <v>5.9056539535522496</v>
      </c>
      <c r="Y22" s="9">
        <v>5.2422719001770002</v>
      </c>
      <c r="Z22" s="9"/>
      <c r="AA22" s="9">
        <v>4.5250892639160201</v>
      </c>
      <c r="AB22" s="9">
        <v>4.1616706848144496</v>
      </c>
      <c r="AC22" s="9">
        <v>9.9845151901245099</v>
      </c>
      <c r="AD22" s="9">
        <v>10.4663496017456</v>
      </c>
      <c r="AE22" s="9"/>
      <c r="AF22" s="9">
        <v>15.149798393249499</v>
      </c>
      <c r="AG22" s="9">
        <v>12.105363845825201</v>
      </c>
      <c r="AH22" s="9">
        <v>4.7778129577636701</v>
      </c>
      <c r="AI22" s="9">
        <v>9.2499876022338903</v>
      </c>
      <c r="AJ22" s="9"/>
      <c r="AK22" s="9">
        <v>10.915330886840801</v>
      </c>
      <c r="AL22" s="9">
        <v>15.236961364746101</v>
      </c>
      <c r="AM22" s="9">
        <v>12.053936958313001</v>
      </c>
      <c r="AN22" s="9">
        <v>14.290392875671399</v>
      </c>
      <c r="AO22" s="9"/>
      <c r="AP22" s="9"/>
      <c r="AQ22" s="9">
        <v>9.46624851226807</v>
      </c>
      <c r="AR22" s="9">
        <v>13.1790266036987</v>
      </c>
      <c r="AS22" s="9">
        <v>9.1840257644653303</v>
      </c>
      <c r="AT22" s="9">
        <v>4.7778129577636701</v>
      </c>
      <c r="AU22" s="9">
        <v>7.3733539581298801</v>
      </c>
      <c r="AV22" s="9">
        <v>27.557523727416999</v>
      </c>
      <c r="AW22" s="9">
        <v>12.7200708389282</v>
      </c>
      <c r="AX22" s="9">
        <v>14.2833452224731</v>
      </c>
      <c r="AY22" s="9"/>
      <c r="AZ22" s="9"/>
      <c r="BA22" s="9">
        <v>12.4335632324219</v>
      </c>
      <c r="BB22" s="9"/>
      <c r="BC22" s="9"/>
      <c r="BD22" s="9"/>
      <c r="BE22" s="9">
        <v>2.89841961860657</v>
      </c>
      <c r="BF22" s="9">
        <v>5.2361898422241202</v>
      </c>
      <c r="BG22" s="9">
        <v>8.4414739608764595</v>
      </c>
      <c r="BH22" s="9"/>
      <c r="BI22" s="9"/>
      <c r="BJ22" s="9"/>
      <c r="BK22" s="9"/>
      <c r="BL22" s="9"/>
      <c r="BM22" s="9"/>
      <c r="BN22" s="9"/>
      <c r="BO22" s="9"/>
      <c r="BP22" s="9"/>
    </row>
    <row r="23" spans="1:68" ht="16" x14ac:dyDescent="0.35">
      <c r="A23" s="6">
        <v>22</v>
      </c>
      <c r="B23" s="7" t="s">
        <v>89</v>
      </c>
      <c r="G23" s="9"/>
      <c r="H23" s="9"/>
      <c r="I23" s="9">
        <v>3.9364745616912802</v>
      </c>
      <c r="J23" s="9"/>
      <c r="K23" s="9">
        <v>10.4764242172241</v>
      </c>
      <c r="L23" s="9"/>
      <c r="M23" s="9">
        <v>11.939700126647899</v>
      </c>
      <c r="N23" s="9">
        <v>12.0013542175293</v>
      </c>
      <c r="O23" s="9">
        <v>9.3006906509399396</v>
      </c>
      <c r="P23" s="9">
        <v>10.9821262359619</v>
      </c>
      <c r="Q23" s="9">
        <v>21.449708938598601</v>
      </c>
      <c r="R23" s="9">
        <v>7.7022991180419904</v>
      </c>
      <c r="S23" s="9">
        <v>12.0324592590332</v>
      </c>
      <c r="T23" s="9">
        <v>20.001630783081101</v>
      </c>
      <c r="U23" s="9">
        <v>7.6437296867370597</v>
      </c>
      <c r="V23" s="9">
        <v>12.4338026046753</v>
      </c>
      <c r="W23" s="9">
        <v>12.482409477233899</v>
      </c>
      <c r="X23" s="9">
        <v>13.452253341674799</v>
      </c>
      <c r="Y23" s="9">
        <v>4.7734079360961896</v>
      </c>
      <c r="Z23" s="9">
        <v>3.1535618305206299</v>
      </c>
      <c r="AA23" s="9">
        <v>4.0496101379394496</v>
      </c>
      <c r="AB23" s="9">
        <v>4.9383950233459499</v>
      </c>
      <c r="AC23" s="9">
        <v>18.880470275878899</v>
      </c>
      <c r="AD23" s="9">
        <v>12.786497116088899</v>
      </c>
      <c r="AE23" s="9">
        <v>13.0058393478394</v>
      </c>
      <c r="AF23" s="9">
        <v>13.5783576965332</v>
      </c>
      <c r="AG23" s="9">
        <v>9.9077596664428693</v>
      </c>
      <c r="AH23" s="9">
        <v>2.5371320247650102</v>
      </c>
      <c r="AI23" s="9">
        <v>10.3282527923584</v>
      </c>
      <c r="AJ23" s="9">
        <v>9.6832361221313494</v>
      </c>
      <c r="AK23" s="9"/>
      <c r="AL23" s="9"/>
      <c r="AM23" s="9">
        <v>20.992996215820298</v>
      </c>
      <c r="AN23" s="9"/>
      <c r="AO23" s="9">
        <v>72.359764099121094</v>
      </c>
      <c r="AP23" s="9">
        <v>102.20785522460901</v>
      </c>
      <c r="AQ23" s="9">
        <v>9.7590093612670898</v>
      </c>
      <c r="AR23" s="9">
        <v>20.904191970825199</v>
      </c>
      <c r="AS23" s="9">
        <v>18.2680969238281</v>
      </c>
      <c r="AT23" s="9">
        <v>2.5371320247650102</v>
      </c>
      <c r="AU23" s="9">
        <v>3.1584830284118701</v>
      </c>
      <c r="AV23" s="9">
        <v>12.883604049682599</v>
      </c>
      <c r="AW23" s="9">
        <v>10.279746055603001</v>
      </c>
      <c r="AX23" s="9">
        <v>8.6467761993408203</v>
      </c>
      <c r="AY23" s="9">
        <v>21.740106582641602</v>
      </c>
      <c r="AZ23" s="9">
        <v>23.616971969604499</v>
      </c>
      <c r="BA23" s="9">
        <v>31.6696662902832</v>
      </c>
      <c r="BB23" s="9">
        <v>4.35632371902466</v>
      </c>
      <c r="BC23" s="9">
        <v>4.2832574844360396</v>
      </c>
      <c r="BD23" s="9">
        <v>5.0151805877685502</v>
      </c>
      <c r="BE23" s="9">
        <v>3.9880425930023198</v>
      </c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>
        <v>1.5629476308822601</v>
      </c>
    </row>
    <row r="24" spans="1:68" ht="16" x14ac:dyDescent="0.35">
      <c r="A24" s="6">
        <v>23</v>
      </c>
      <c r="B24" s="7" t="s">
        <v>90</v>
      </c>
      <c r="G24" s="9"/>
      <c r="H24" s="9"/>
      <c r="I24" s="9"/>
      <c r="J24" s="9"/>
      <c r="K24" s="9"/>
      <c r="L24" s="9"/>
      <c r="M24" s="9"/>
      <c r="N24" s="9">
        <v>149.184158325195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</row>
    <row r="25" spans="1:68" ht="16" x14ac:dyDescent="0.35">
      <c r="A25" s="6">
        <v>24</v>
      </c>
      <c r="B25" s="7" t="s">
        <v>91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>
        <v>10.2557430267334</v>
      </c>
      <c r="T25" s="9">
        <v>14.345506668090801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>
        <v>3.1773872375488299</v>
      </c>
      <c r="AK25" s="9">
        <v>52.231597900390597</v>
      </c>
      <c r="AL25" s="9">
        <v>355.64907836914102</v>
      </c>
      <c r="AM25" s="9"/>
      <c r="AN25" s="9"/>
      <c r="AO25" s="9"/>
      <c r="AP25" s="9"/>
      <c r="AQ25" s="9"/>
      <c r="AR25" s="9"/>
      <c r="AS25" s="9">
        <v>1.96144127845764</v>
      </c>
      <c r="AT25" s="9"/>
      <c r="AU25" s="9"/>
      <c r="AV25" s="9"/>
      <c r="AW25" s="9">
        <v>9.1095275878906197</v>
      </c>
      <c r="AX25" s="9"/>
      <c r="AY25" s="9">
        <v>8.7660779953002894</v>
      </c>
      <c r="AZ25" s="9">
        <v>7.7032394409179696</v>
      </c>
      <c r="BA25" s="9">
        <v>4.7360668182373002</v>
      </c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</row>
    <row r="26" spans="1:68" ht="16" x14ac:dyDescent="0.35">
      <c r="A26" s="6">
        <v>25</v>
      </c>
      <c r="B26" s="3" t="s">
        <v>92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>
        <v>0.74654728174209595</v>
      </c>
      <c r="AO26" s="9"/>
      <c r="AP26" s="9">
        <v>1.3973039388656601</v>
      </c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</row>
    <row r="27" spans="1:68" ht="16" x14ac:dyDescent="0.35">
      <c r="A27" s="6">
        <v>26</v>
      </c>
      <c r="B27" s="3" t="s">
        <v>93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>
        <v>75.426300048828097</v>
      </c>
      <c r="AP27" s="9">
        <v>129.46498107910199</v>
      </c>
      <c r="AQ27" s="9"/>
      <c r="AR27" s="9">
        <v>9.6251802444458008</v>
      </c>
      <c r="AS27" s="9"/>
      <c r="AT27" s="9"/>
      <c r="AU27" s="9"/>
      <c r="AV27" s="9">
        <v>8.5257978439331108</v>
      </c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</row>
    <row r="28" spans="1:68" ht="16" x14ac:dyDescent="0.35">
      <c r="A28" s="6">
        <v>27</v>
      </c>
      <c r="B28" s="3" t="s">
        <v>94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>
        <v>2.2693510055542001</v>
      </c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</row>
    <row r="29" spans="1:68" ht="16" x14ac:dyDescent="0.35">
      <c r="A29" s="6">
        <v>28</v>
      </c>
      <c r="B29" s="7" t="s">
        <v>95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>
        <v>1.69585728645325</v>
      </c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</row>
    <row r="30" spans="1:68" ht="16" x14ac:dyDescent="0.35">
      <c r="A30" s="6">
        <v>29</v>
      </c>
      <c r="B30" s="10" t="s">
        <v>96</v>
      </c>
      <c r="C30" s="11">
        <v>188.99464416503901</v>
      </c>
      <c r="D30" s="2">
        <f>VLOOKUP(B30,[1]Sheet1!$C$3:$F$14,4,FALSE)</f>
        <v>3.1078178882598899</v>
      </c>
      <c r="E30" s="2">
        <f>VLOOKUP(B30,[2]Sheet1!$C$2:$F$13,4,FALSE)</f>
        <v>2.09932518005371</v>
      </c>
      <c r="F30" s="2">
        <f>VLOOKUP(B30,[3]Sheet1!$C$3:$F$15,4,FALSE)</f>
        <v>4.6916449069976798</v>
      </c>
      <c r="G30" s="2">
        <f>VLOOKUP(B30,[4]Sheet1!$C$3:$F$13,4,FALSE)</f>
        <v>4.2605767250061</v>
      </c>
      <c r="H30" s="2">
        <f>VLOOKUP(B30,[5]Sheet1!$C$2:$F$12,4,FALSE)</f>
        <v>2.49549508094788</v>
      </c>
      <c r="I30" s="2">
        <f>VLOOKUP(B30,[6]Sheet1!$C$2:$F$14,4,FALSE)</f>
        <v>3.0819885730743399</v>
      </c>
      <c r="J30" s="2">
        <f>VLOOKUP(B30,[7]Sheet1!$C$2:$F$15,4,FALSE)</f>
        <v>5.6773884296417201</v>
      </c>
      <c r="K30" s="2">
        <f>VLOOKUP(B30,[8]Sheet1!$C$2:$F$16,4,FALSE)</f>
        <v>4.5242509841918901</v>
      </c>
      <c r="L30" s="2">
        <f>VLOOKUP(B30,[9]Sheet1!$C$2:$F$10,4,FALSE)</f>
        <v>3.04661917686462</v>
      </c>
      <c r="M30" s="2">
        <f>VLOOKUP(B30,[10]Sheet1!$C$2:$F$13,4,FALSE)</f>
        <v>2.4079000949859601</v>
      </c>
      <c r="N30" s="13">
        <f>VLOOKUP(B30,[11]Sheet1!$C$2:$F$12,4,FALSE)</f>
        <v>1088.70751953125</v>
      </c>
      <c r="O30" s="2">
        <f>VLOOKUP(B30,[12]Sheet1!$C$2:$F$17,4,FALSE)</f>
        <v>2.9183374047279398</v>
      </c>
      <c r="P30" s="2">
        <f>VLOOKUP(B30,[13]Sheet1!$C$2:$F$11,4,FALSE)</f>
        <v>0.79193019866943404</v>
      </c>
      <c r="Q30" s="2">
        <f>VLOOKUP(B30,[14]Sheet1!$C$2:$F$13,4,FALSE)</f>
        <v>0.20362395048141499</v>
      </c>
      <c r="R30" s="2">
        <f>VLOOKUP(B30,[15]Sheet1!$C$2:$F$15,4,FALSE)</f>
        <v>158.863204956055</v>
      </c>
      <c r="S30" s="2">
        <f>VLOOKUP(B30,[16]Sheet1!$C$2:$F$15,4,FALSE)</f>
        <v>0.68366783857345603</v>
      </c>
      <c r="T30" s="13">
        <f>VLOOKUP(B30,[17]Sheet1!$C$2:$F$14,4,FALSE)</f>
        <v>37.2922687530518</v>
      </c>
      <c r="U30" s="13">
        <f>VLOOKUP(B30,[18]Sheet1!$C$2:$F$11,4,FALSE)</f>
        <v>909.92585754394497</v>
      </c>
      <c r="V30" s="2">
        <f>VLOOKUP(B30,[19]Sheet1!$C$2:$F$15,4,FALSE)</f>
        <v>3.1074922680854802</v>
      </c>
      <c r="W30" s="2">
        <f>VLOOKUP(B30,[20]Sheet1!$C$2:$F$12,4,FALSE)</f>
        <v>1.0631004571914699</v>
      </c>
      <c r="X30" s="2">
        <f>VLOOKUP(B30,[21]Sheet1!$C$2:$F$12,4,FALSE)</f>
        <v>0.392191082239151</v>
      </c>
      <c r="Y30" s="2">
        <f>VLOOKUP(B30,[22]Sheet1!$C$2:$F$15,4,FALSE)</f>
        <v>1.1129110455513</v>
      </c>
      <c r="Z30" s="14">
        <v>3.60890400409698</v>
      </c>
      <c r="AA30" s="2">
        <f>VLOOKUP(B30,[23]Sheet1!$C$2:$F$13,4,FALSE)</f>
        <v>0.86581343412399303</v>
      </c>
      <c r="AB30" s="2">
        <f>VLOOKUP(B30,[24]Sheet1!$C$2:$F$12,4,FALSE)</f>
        <v>1.11883765459061</v>
      </c>
      <c r="AC30" s="2">
        <f>VLOOKUP(B30,[25]Sheet1!$C$2:$F$15,4,FALSE)</f>
        <v>2.9397025108337398</v>
      </c>
      <c r="AD30" s="2">
        <f>VLOOKUP(B30,[26]Sheet1!$C$2:$F$9,4,FALSE)</f>
        <v>1.0476663112640401</v>
      </c>
      <c r="AE30" s="2">
        <f>VLOOKUP(B30,[27]Sheet1!$C$2:$F$13,4,FALSE)</f>
        <v>3.4786248207092298</v>
      </c>
      <c r="AF30" s="2">
        <f>VLOOKUP(B30,[28]Sheet1!$C$2:$F$15,4,FALSE)</f>
        <v>4.4542789459228498</v>
      </c>
      <c r="AG30" s="2">
        <f>VLOOKUP(B30,[29]Sheet1!$C$2:$F$12,4,FALSE)</f>
        <v>1.6067575216293299</v>
      </c>
      <c r="AH30" s="2">
        <f>VLOOKUP(B30,[30]Sheet1!$C$2:$F$12,4,FALSE)</f>
        <v>3.1800658702850302</v>
      </c>
      <c r="AI30" s="2">
        <f>VLOOKUP(B30,[31]Sheet1!$C$2:$F$12,4,FALSE)</f>
        <v>3.0208377838134801</v>
      </c>
      <c r="AJ30" s="2">
        <f>VLOOKUP(B30,[32]Sheet1!$C$2:$F$11,4,FALSE)</f>
        <v>2.8074481487274201</v>
      </c>
      <c r="AK30" s="2">
        <f>VLOOKUP(B30,[33]Sheet1!$C$2:$F$12,4,FALSE)</f>
        <v>4.5649290084838903</v>
      </c>
      <c r="AL30" s="13">
        <f>VLOOKUP(B30,[34]Sheet1!$C$2:$F$13,4,FALSE)</f>
        <v>430.70504760742199</v>
      </c>
      <c r="AM30" s="2">
        <f>VLOOKUP(B30,[35]Sheet1!$C$2:$F$11,4,FALSE)</f>
        <v>3.1260433197021502</v>
      </c>
      <c r="AN30" s="2">
        <f>VLOOKUP(B30,[36]Sheet1!$C$2:$F$14,4,FALSE)</f>
        <v>3.5444574356079102</v>
      </c>
      <c r="AO30" s="2">
        <f>VLOOKUP(B30,[37]Sheet1!$C$2:$F$10,4,FALSE)</f>
        <v>2.00526022911072</v>
      </c>
      <c r="AP30" s="2">
        <f>VLOOKUP(B30,[38]Sheet1!$C$2:$F$9,4,FALSE)</f>
        <v>1.4277307987213099</v>
      </c>
      <c r="AQ30" s="2">
        <f>VLOOKUP(B30,[39]Sheet1!$C$2:$F$13,4,FALSE)</f>
        <v>3.6420845389366101</v>
      </c>
      <c r="AR30" s="2">
        <f>VLOOKUP(B30,[40]Sheet1!$C$2:$F$12,4,FALSE)</f>
        <v>6.7037210464477504</v>
      </c>
      <c r="AT30" s="2">
        <f>VLOOKUP(B30,[41]Sheet1!$C$2:$F$14,4,FALSE)</f>
        <v>3.1030722856521602</v>
      </c>
      <c r="AU30" s="2">
        <f>VLOOKUP(B30,[42]Sheet1!$C$2:$F$11,4,FALSE)</f>
        <v>1.7451344132423401</v>
      </c>
      <c r="AV30" s="2">
        <f>VLOOKUP(B30,[43]Sheet1!$C$2:$F$17,4,FALSE)</f>
        <v>0.17472043633461001</v>
      </c>
      <c r="AW30" s="2">
        <f>VLOOKUP(B30,[44]Sheet1!$C$2:$F$11,4,FALSE)</f>
        <v>6.03249263763428</v>
      </c>
      <c r="AX30" s="2">
        <f>VLOOKUP(B30,[45]Sheet1!$C$2:$F$10,4,FALSE)</f>
        <v>2.3945617675781201</v>
      </c>
      <c r="AZ30" s="2">
        <f>VLOOKUP(B30,[46]Sheet1!$C$2:$F$12,4,FALSE)</f>
        <v>2.5052909851074201</v>
      </c>
      <c r="BA30" s="2">
        <f>VLOOKUP(B30,[47]Sheet1!$C$2:$F$12,4,FALSE)</f>
        <v>1.3466988801956199</v>
      </c>
      <c r="BB30" s="2">
        <f>VLOOKUP(B30,[48]Sheet1!$C$2:$F$16,4,FALSE)</f>
        <v>4.0394840240478498</v>
      </c>
      <c r="BC30" s="2">
        <f>VLOOKUP(B30,[49]Sheet1!$C$2:$F$12,4,FALSE)</f>
        <v>8.2368166446685809</v>
      </c>
      <c r="BD30" s="2">
        <f>VLOOKUP(B30,[50]Sheet1!$C$2:$F$13,4,FALSE)</f>
        <v>2.2893509864807098</v>
      </c>
      <c r="BE30" s="2">
        <f>VLOOKUP(B30,[51]Sheet1!$C$2:$F$10,4,FALSE)</f>
        <v>0.70040857791900601</v>
      </c>
      <c r="BF30" s="2">
        <f>VLOOKUP(B30,[52]Sheet1!$C$2:$F$13,4,FALSE)</f>
        <v>3.6877427101135298</v>
      </c>
      <c r="BG30" s="2">
        <v>5.3566298484802202</v>
      </c>
      <c r="BH30" s="2">
        <f>VLOOKUP(B30,[53]Sheet1!$C$2:$F$13,4,FALSE)</f>
        <v>0.82049089670181297</v>
      </c>
      <c r="BI30" s="2">
        <f>VLOOKUP(B30,[54]Sheet1!$C$2:$F$8,4,FALSE)</f>
        <v>0.75837722420692399</v>
      </c>
      <c r="BJ30" s="2">
        <f>VLOOKUP(B30,[55]Sheet1!$C$2:$F$12,4,FALSE)</f>
        <v>99.554149627685504</v>
      </c>
      <c r="BK30" s="2">
        <f>VLOOKUP(B30,[56]Sheet1!$C$2:$F$7,4,FALSE)</f>
        <v>0.66762205958366405</v>
      </c>
      <c r="BM30" s="2">
        <f>VLOOKUP(B30,[57]Sheet1!$C$2:$F$11,4,FALSE)</f>
        <v>0.316499203443527</v>
      </c>
      <c r="BN30" s="2">
        <f>VLOOKUP(B30,[58]Sheet1!$C$2:$F$10,4,FALSE)</f>
        <v>0.54161244630813599</v>
      </c>
      <c r="BO30" s="2">
        <f>VLOOKUP(B30,[59]Sheet1!$C$3:$F$9,4,FALSE)</f>
        <v>0.88600760698318504</v>
      </c>
      <c r="BP30" s="2">
        <f>VLOOKUP(B30,[60]Sheet1!$C$3:$F$7,4,FALSE)</f>
        <v>0.46069139242172202</v>
      </c>
    </row>
    <row r="31" spans="1:68" ht="16" x14ac:dyDescent="0.35">
      <c r="A31" s="6">
        <v>30</v>
      </c>
      <c r="B31" s="10" t="s">
        <v>97</v>
      </c>
      <c r="C31" s="11">
        <v>1544.31262207031</v>
      </c>
      <c r="D31" s="2">
        <f>VLOOKUP(B31,[1]Sheet1!$C$3:$F$14,4,FALSE)</f>
        <v>11.2953963279724</v>
      </c>
      <c r="E31" s="2">
        <f>VLOOKUP(B31,[2]Sheet1!$C$2:$F$13,4,FALSE)</f>
        <v>12.5429878234863</v>
      </c>
      <c r="F31" s="2">
        <f>VLOOKUP(B31,[3]Sheet1!$C$3:$F$15,4,FALSE)</f>
        <v>11.0422868728638</v>
      </c>
      <c r="G31" s="2">
        <f>VLOOKUP(B31,[4]Sheet1!$C$3:$F$13,4,FALSE)</f>
        <v>16.549459934234601</v>
      </c>
      <c r="H31" s="2">
        <f>VLOOKUP(B31,[5]Sheet1!$C$2:$F$12,4,FALSE)</f>
        <v>17.8596224784851</v>
      </c>
      <c r="I31" s="2">
        <f>VLOOKUP(B31,[6]Sheet1!$C$2:$F$14,4,FALSE)</f>
        <v>15.449944496154799</v>
      </c>
      <c r="J31" s="2">
        <f>VLOOKUP(B31,[7]Sheet1!$C$2:$F$15,4,FALSE)</f>
        <v>41.542026519775398</v>
      </c>
      <c r="K31" s="2">
        <f>VLOOKUP(B31,[8]Sheet1!$C$2:$F$16,4,FALSE)</f>
        <v>56.5235404968262</v>
      </c>
      <c r="L31" s="2">
        <f>VLOOKUP(B31,[9]Sheet1!$C$2:$F$10,4,FALSE)</f>
        <v>39.247726440429702</v>
      </c>
      <c r="M31" s="2">
        <f>VLOOKUP(B31,[10]Sheet1!$C$2:$F$13,4,FALSE)</f>
        <v>12.8010158538818</v>
      </c>
      <c r="N31" s="13">
        <f>VLOOKUP(B31,[11]Sheet1!$C$2:$F$12,4,FALSE)</f>
        <v>10353.5673828125</v>
      </c>
      <c r="O31" s="2">
        <f>VLOOKUP(B31,[12]Sheet1!$C$2:$F$17,4,FALSE)</f>
        <v>21.6096305847168</v>
      </c>
      <c r="P31" s="2">
        <f>VLOOKUP(B31,[13]Sheet1!$C$2:$F$11,4,FALSE)</f>
        <v>28.0399265289307</v>
      </c>
      <c r="Q31" s="2">
        <f>VLOOKUP(B31,[14]Sheet1!$C$2:$F$13,4,FALSE)</f>
        <v>17.335472106933601</v>
      </c>
      <c r="R31" s="2">
        <f>VLOOKUP(B31,[15]Sheet1!$C$2:$F$15,4,FALSE)</f>
        <v>3421.78686523438</v>
      </c>
      <c r="S31" s="2">
        <f>VLOOKUP(B31,[16]Sheet1!$C$2:$F$15,4,FALSE)</f>
        <v>30.401346206665</v>
      </c>
      <c r="T31" s="13">
        <f>VLOOKUP(B31,[17]Sheet1!$C$2:$F$14,4,FALSE)</f>
        <v>1298.32897949219</v>
      </c>
      <c r="U31" s="13">
        <f>VLOOKUP(B31,[18]Sheet1!$C$2:$F$11,4,FALSE)</f>
        <v>5226.720703125</v>
      </c>
      <c r="V31" s="2">
        <f>VLOOKUP(B31,[19]Sheet1!$C$2:$F$15,4,FALSE)</f>
        <v>26.660203933715799</v>
      </c>
      <c r="W31" s="2">
        <f>VLOOKUP(B31,[20]Sheet1!$C$2:$F$12,4,FALSE)</f>
        <v>19.947071075439499</v>
      </c>
      <c r="X31" s="2">
        <f>VLOOKUP(B31,[21]Sheet1!$C$2:$F$12,4,FALSE)</f>
        <v>21.529647827148398</v>
      </c>
      <c r="Y31" s="2">
        <f>VLOOKUP(B31,[22]Sheet1!$C$2:$F$15,4,FALSE)</f>
        <v>15.829266548156699</v>
      </c>
      <c r="Z31" s="14">
        <v>13.0103149414062</v>
      </c>
      <c r="AA31" s="2">
        <f>VLOOKUP(B31,[23]Sheet1!$C$2:$F$13,4,FALSE)</f>
        <v>16.014430999755898</v>
      </c>
      <c r="AB31" s="2">
        <f>VLOOKUP(B31,[24]Sheet1!$C$2:$F$12,4,FALSE)</f>
        <v>17.494428634643601</v>
      </c>
      <c r="AC31" s="2">
        <f>VLOOKUP(B31,[25]Sheet1!$C$2:$F$15,4,FALSE)</f>
        <v>17.213441848754901</v>
      </c>
      <c r="AD31" s="2">
        <f>VLOOKUP(B31,[26]Sheet1!$C$2:$F$9,4,FALSE)</f>
        <v>13.632094860076901</v>
      </c>
      <c r="AE31" s="2">
        <f>VLOOKUP(B31,[27]Sheet1!$C$2:$F$13,4,FALSE)</f>
        <v>25.699659347534201</v>
      </c>
      <c r="AF31" s="2">
        <f>VLOOKUP(B31,[28]Sheet1!$C$2:$F$15,4,FALSE)</f>
        <v>25.520473480224599</v>
      </c>
      <c r="AG31" s="2">
        <f>VLOOKUP(B31,[29]Sheet1!$C$2:$F$12,4,FALSE)</f>
        <v>31.281288146972699</v>
      </c>
      <c r="AH31" s="2">
        <f>VLOOKUP(B31,[30]Sheet1!$C$2:$F$12,4,FALSE)</f>
        <v>36.153507232666001</v>
      </c>
      <c r="AI31" s="2">
        <f>VLOOKUP(B31,[31]Sheet1!$C$2:$F$12,4,FALSE)</f>
        <v>23.363052368164102</v>
      </c>
      <c r="AJ31" s="2">
        <f>VLOOKUP(B31,[32]Sheet1!$C$2:$F$11,4,FALSE)</f>
        <v>24.019853591918899</v>
      </c>
      <c r="AK31" s="2">
        <f>VLOOKUP(B31,[33]Sheet1!$C$2:$F$12,4,FALSE)</f>
        <v>25.759466171264599</v>
      </c>
      <c r="AL31" s="13">
        <f>VLOOKUP(B31,[34]Sheet1!$C$2:$F$13,4,FALSE)</f>
        <v>5053.34619140625</v>
      </c>
      <c r="AM31" s="2">
        <f>VLOOKUP(B31,[35]Sheet1!$C$2:$F$11,4,FALSE)</f>
        <v>25.6938991546631</v>
      </c>
      <c r="AN31" s="2">
        <f>VLOOKUP(B31,[36]Sheet1!$C$2:$F$14,4,FALSE)</f>
        <v>26.717657089233398</v>
      </c>
      <c r="AO31" s="2">
        <f>VLOOKUP(B31,[37]Sheet1!$C$2:$F$10,4,FALSE)</f>
        <v>27.588840484619102</v>
      </c>
      <c r="AP31" s="2">
        <f>VLOOKUP(B31,[38]Sheet1!$C$2:$F$9,4,FALSE)</f>
        <v>23.177755355835</v>
      </c>
      <c r="AQ31" s="2">
        <f>VLOOKUP(B31,[39]Sheet1!$C$2:$F$13,4,FALSE)</f>
        <v>69.758636474609403</v>
      </c>
      <c r="AR31" s="2">
        <f>VLOOKUP(B31,[40]Sheet1!$C$2:$F$12,4,FALSE)</f>
        <v>34.038887023925803</v>
      </c>
      <c r="AS31" s="2">
        <f>VLOOKUP(B31,[61]Sheet1!$C$2:$F$12,4,FALSE)</f>
        <v>36.651290893554702</v>
      </c>
      <c r="AT31" s="2">
        <f>VLOOKUP(B31,[41]Sheet1!$C$2:$F$14,4,FALSE)</f>
        <v>14.7650508880615</v>
      </c>
      <c r="AU31" s="2">
        <f>VLOOKUP(B31,[42]Sheet1!$C$2:$F$11,4,FALSE)</f>
        <v>17.5188083648682</v>
      </c>
      <c r="AV31" s="2">
        <f>VLOOKUP(B31,[43]Sheet1!$C$2:$F$17,4,FALSE)</f>
        <v>27.788576126098601</v>
      </c>
      <c r="AW31" s="2">
        <f>VLOOKUP(B31,[44]Sheet1!$C$2:$F$11,4,FALSE)</f>
        <v>42.310797691345201</v>
      </c>
      <c r="AX31" s="2">
        <f>VLOOKUP(B31,[45]Sheet1!$C$2:$F$10,4,FALSE)</f>
        <v>24.962751388549801</v>
      </c>
      <c r="AY31" s="2">
        <f>VLOOKUP(B31,[62]Sheet1!$C$2:$F$12,4,FALSE)</f>
        <v>45.0648803710938</v>
      </c>
      <c r="AZ31" s="2">
        <f>VLOOKUP(B31,[46]Sheet1!$C$2:$F$12,4,FALSE)</f>
        <v>32.005970001220703</v>
      </c>
      <c r="BA31" s="2">
        <f>VLOOKUP(B31,[47]Sheet1!$C$2:$F$12,4,FALSE)</f>
        <v>83.3829345703125</v>
      </c>
      <c r="BB31" s="2">
        <f>VLOOKUP(B31,[48]Sheet1!$C$2:$F$16,4,FALSE)</f>
        <v>18.778690338134801</v>
      </c>
      <c r="BC31" s="2">
        <f>VLOOKUP(B31,[49]Sheet1!$C$2:$F$12,4,FALSE)</f>
        <v>18.492946624755898</v>
      </c>
      <c r="BD31" s="2">
        <f>VLOOKUP(B31,[50]Sheet1!$C$2:$F$13,4,FALSE)</f>
        <v>14.632488250732401</v>
      </c>
      <c r="BE31" s="2">
        <f>VLOOKUP(B31,[51]Sheet1!$C$2:$F$10,4,FALSE)</f>
        <v>18.0151062011719</v>
      </c>
      <c r="BF31" s="2">
        <f>VLOOKUP(B31,[52]Sheet1!$C$2:$F$13,4,FALSE)</f>
        <v>35.950031280517599</v>
      </c>
      <c r="BG31" s="2">
        <v>56.977828979492202</v>
      </c>
      <c r="BH31" s="2">
        <f>VLOOKUP(B31,[53]Sheet1!$C$2:$F$13,4,FALSE)</f>
        <v>6.3516387939453098</v>
      </c>
      <c r="BI31" s="2">
        <f>VLOOKUP(B31,[54]Sheet1!$C$2:$F$8,4,FALSE)</f>
        <v>5.9096274375915501</v>
      </c>
      <c r="BJ31" s="2">
        <f>VLOOKUP(B31,[55]Sheet1!$C$2:$F$12,4,FALSE)</f>
        <v>602.69494628906295</v>
      </c>
      <c r="BL31" s="2">
        <f>VLOOKUP(B31,[63]Sheet1!$C$2:$F$6,4,FALSE)</f>
        <v>4.6607413291931197</v>
      </c>
      <c r="BM31" s="2">
        <f>VLOOKUP(B31,[57]Sheet1!$C$2:$F$11,4,FALSE)</f>
        <v>5.7470812797546396</v>
      </c>
      <c r="BN31" s="2">
        <f>VLOOKUP(B31,[58]Sheet1!$C$2:$F$10,4,FALSE)</f>
        <v>8.4036159515380895</v>
      </c>
      <c r="BO31" s="2">
        <f>VLOOKUP(B31,[59]Sheet1!$C$3:$F$9,4,FALSE)</f>
        <v>7.7664952278137198</v>
      </c>
      <c r="BP31" s="2">
        <f>VLOOKUP(B31,[60]Sheet1!$C$3:$F$7,4,FALSE)</f>
        <v>5.4997754096984899</v>
      </c>
    </row>
    <row r="32" spans="1:68" ht="16" x14ac:dyDescent="0.35">
      <c r="A32" s="6">
        <v>31</v>
      </c>
      <c r="B32" s="10" t="s">
        <v>98</v>
      </c>
      <c r="C32" s="11">
        <v>229.94276428222699</v>
      </c>
      <c r="D32" s="2">
        <f>VLOOKUP(B32,[1]Sheet1!$C$3:$F$14,4,FALSE)</f>
        <v>2.1588785648345898</v>
      </c>
      <c r="F32" s="2">
        <f>VLOOKUP(B32,[3]Sheet1!$C$3:$F$15,4,FALSE)</f>
        <v>3.1846337318420401</v>
      </c>
      <c r="J32" s="2">
        <f>VLOOKUP(B32,[7]Sheet1!$C$2:$F$15,4,FALSE)</f>
        <v>3.0927059650421098</v>
      </c>
      <c r="K32" s="2">
        <f>VLOOKUP(B32,[8]Sheet1!$C$2:$F$16,4,FALSE)</f>
        <v>12.307528495788601</v>
      </c>
      <c r="M32" s="2">
        <f>VLOOKUP(B32,[10]Sheet1!$C$2:$F$13,4,FALSE)</f>
        <v>5.9713330268859899</v>
      </c>
      <c r="N32" s="13">
        <f>VLOOKUP(B32,[11]Sheet1!$C$2:$F$12,4,FALSE)</f>
        <v>1000.23217773438</v>
      </c>
      <c r="O32" s="2">
        <f>VLOOKUP(B32,[12]Sheet1!$C$2:$F$17,4,FALSE)</f>
        <v>5.26995754241943</v>
      </c>
      <c r="P32" s="2">
        <f>VLOOKUP(B32,[13]Sheet1!$C$2:$F$11,4,FALSE)</f>
        <v>1.50111591815948</v>
      </c>
      <c r="Q32" s="2">
        <f>VLOOKUP(B32,[14]Sheet1!$C$2:$F$13,4,FALSE)</f>
        <v>5.8479957580566397</v>
      </c>
      <c r="R32" s="2">
        <f>VLOOKUP(B32,[15]Sheet1!$C$2:$F$15,4,FALSE)</f>
        <v>715.41973876953102</v>
      </c>
      <c r="S32" s="2">
        <f>VLOOKUP(B32,[16]Sheet1!$C$2:$F$15,4,FALSE)</f>
        <v>2.9438879489898699</v>
      </c>
      <c r="T32" s="13">
        <f>VLOOKUP(B32,[17]Sheet1!$C$2:$F$14,4,FALSE)</f>
        <v>214.1201171875</v>
      </c>
      <c r="U32" s="13">
        <f>VLOOKUP(B32,[18]Sheet1!$C$2:$F$11,4,FALSE)</f>
        <v>1689.91223144531</v>
      </c>
      <c r="V32" s="2">
        <f>VLOOKUP(B32,[19]Sheet1!$C$2:$F$15,4,FALSE)</f>
        <v>3.6295504570007302</v>
      </c>
      <c r="Z32" s="14">
        <v>1.9054970741271999</v>
      </c>
      <c r="AB32" s="2">
        <f>VLOOKUP(B32,[24]Sheet1!$C$2:$F$12,4,FALSE)</f>
        <v>4.6728310585021999</v>
      </c>
      <c r="AC32" s="2">
        <f>VLOOKUP(B32,[25]Sheet1!$C$2:$F$15,4,FALSE)</f>
        <v>3.1593272686004599</v>
      </c>
      <c r="AE32" s="2">
        <f>VLOOKUP(B32,[27]Sheet1!$C$2:$F$13,4,FALSE)</f>
        <v>13.257971763610801</v>
      </c>
      <c r="AF32" s="2">
        <f>VLOOKUP(B32,[28]Sheet1!$C$2:$F$15,4,FALSE)</f>
        <v>2.5169203281402601</v>
      </c>
      <c r="AG32" s="2">
        <f>VLOOKUP(B32,[29]Sheet1!$C$2:$F$12,4,FALSE)</f>
        <v>13.090994834899901</v>
      </c>
      <c r="AH32" s="2">
        <f>VLOOKUP(B32,[30]Sheet1!$C$2:$F$12,4,FALSE)</f>
        <v>12.550595283508301</v>
      </c>
      <c r="AI32" s="2">
        <f>VLOOKUP(B32,[31]Sheet1!$C$2:$F$12,4,FALSE)</f>
        <v>5.2471294403076199</v>
      </c>
      <c r="AJ32" s="2">
        <f>VLOOKUP(B32,[32]Sheet1!$C$2:$F$11,4,FALSE)</f>
        <v>4.9714641571044904</v>
      </c>
      <c r="AK32" s="2">
        <f>VLOOKUP(B32,[33]Sheet1!$C$2:$F$12,4,FALSE)</f>
        <v>2.56527924537659</v>
      </c>
      <c r="AL32" s="13"/>
      <c r="AP32" s="2">
        <f>VLOOKUP(B32,[38]Sheet1!$C$2:$F$9,4,FALSE)</f>
        <v>11.290316581726101</v>
      </c>
      <c r="AQ32" s="2">
        <f>VLOOKUP(B32,[39]Sheet1!$C$2:$F$13,4,FALSE)</f>
        <v>25.937383651733398</v>
      </c>
      <c r="AR32" s="2">
        <f>VLOOKUP(B32,[40]Sheet1!$C$2:$F$12,4,FALSE)</f>
        <v>9.6835460662841797</v>
      </c>
      <c r="AS32" s="2">
        <f>VLOOKUP(B32,[61]Sheet1!$C$2:$F$12,4,FALSE)</f>
        <v>7.7699551582336399</v>
      </c>
      <c r="AV32" s="2">
        <f>VLOOKUP(B32,[43]Sheet1!$C$2:$F$17,4,FALSE)</f>
        <v>4.9418754577636701</v>
      </c>
      <c r="AW32" s="2">
        <f>VLOOKUP(B32,[44]Sheet1!$C$2:$F$11,4,FALSE)</f>
        <v>5.4277787208557102</v>
      </c>
      <c r="AX32" s="2">
        <f>VLOOKUP(B32,[45]Sheet1!$C$2:$F$10,4,FALSE)</f>
        <v>7.1979551315307599</v>
      </c>
      <c r="AY32" s="2">
        <f>VLOOKUP(B32,[62]Sheet1!$C$2:$F$12,4,FALSE)</f>
        <v>91.641342163085895</v>
      </c>
      <c r="AZ32" s="2">
        <f>VLOOKUP(B32,[46]Sheet1!$C$2:$F$12,4,FALSE)</f>
        <v>303.43664550781301</v>
      </c>
      <c r="BA32" s="2">
        <f>VLOOKUP(B32,[47]Sheet1!$C$2:$F$12,4,FALSE)</f>
        <v>8.9883933067321795</v>
      </c>
      <c r="BB32" s="2">
        <f>VLOOKUP(B32,[48]Sheet1!$C$2:$F$16,4,FALSE)</f>
        <v>3.6914250850677499</v>
      </c>
      <c r="BF32" s="2">
        <f>VLOOKUP(B32,[52]Sheet1!$C$2:$F$13,4,FALSE)</f>
        <v>3.00707960128784</v>
      </c>
      <c r="BG32" s="2">
        <v>10.261837959289601</v>
      </c>
      <c r="BO32" s="2">
        <f>VLOOKUP(B32,[59]Sheet1!$C$3:$F$9,4,FALSE)</f>
        <v>1.9933845996856701</v>
      </c>
    </row>
    <row r="33" spans="1:68" ht="16" x14ac:dyDescent="0.35">
      <c r="A33" s="6">
        <v>32</v>
      </c>
      <c r="B33" s="10" t="s">
        <v>99</v>
      </c>
      <c r="C33" s="11">
        <v>2473.97973632813</v>
      </c>
      <c r="D33" s="2">
        <f>VLOOKUP(B33,[1]Sheet1!$C$3:$F$14,4,FALSE)</f>
        <v>20.085027694702099</v>
      </c>
      <c r="E33" s="2">
        <f>VLOOKUP(B33,[2]Sheet1!$C$2:$F$13,4,FALSE)</f>
        <v>26.563165664672901</v>
      </c>
      <c r="F33" s="2">
        <f>VLOOKUP(B33,[3]Sheet1!$C$3:$F$15,4,FALSE)</f>
        <v>16.018671035766602</v>
      </c>
      <c r="G33" s="2">
        <f>VLOOKUP(B33,[4]Sheet1!$C$3:$F$13,4,FALSE)</f>
        <v>30.607917785644499</v>
      </c>
      <c r="H33" s="2">
        <f>VLOOKUP(B33,[5]Sheet1!$C$2:$F$12,4,FALSE)</f>
        <v>26.4841823577881</v>
      </c>
      <c r="I33" s="2">
        <f>VLOOKUP(B33,[6]Sheet1!$C$2:$F$14,4,FALSE)</f>
        <v>16.660377502441399</v>
      </c>
      <c r="J33" s="2">
        <f>VLOOKUP(B33,[7]Sheet1!$C$2:$F$15,4,FALSE)</f>
        <v>76.406303405761705</v>
      </c>
      <c r="K33" s="2">
        <f>VLOOKUP(B33,[8]Sheet1!$C$2:$F$16,4,FALSE)</f>
        <v>123.50058746337901</v>
      </c>
      <c r="L33" s="2">
        <f>VLOOKUP(B33,[9]Sheet1!$C$2:$F$10,4,FALSE)</f>
        <v>59.287509918212898</v>
      </c>
      <c r="M33" s="2">
        <f>VLOOKUP(B33,[10]Sheet1!$C$2:$F$13,4,FALSE)</f>
        <v>99.137367248535199</v>
      </c>
      <c r="N33" s="13">
        <f>VLOOKUP(B33,[11]Sheet1!$C$2:$F$12,4,FALSE)</f>
        <v>6971.74365234375</v>
      </c>
      <c r="O33" s="2">
        <f>VLOOKUP(B33,[12]Sheet1!$C$2:$F$17,4,FALSE)</f>
        <v>115.31428527832</v>
      </c>
      <c r="P33" s="2">
        <f>VLOOKUP(B33,[13]Sheet1!$C$2:$F$11,4,FALSE)</f>
        <v>7.4619259834289604</v>
      </c>
      <c r="Q33" s="2">
        <f>VLOOKUP(B33,[14]Sheet1!$C$2:$F$13,4,FALSE)</f>
        <v>159.33193969726599</v>
      </c>
      <c r="R33" s="2">
        <f>VLOOKUP(B33,[15]Sheet1!$C$2:$F$15,4,FALSE)</f>
        <v>22740.861328125</v>
      </c>
      <c r="S33" s="2">
        <f>VLOOKUP(B33,[16]Sheet1!$C$2:$F$15,4,FALSE)</f>
        <v>105.819412231445</v>
      </c>
      <c r="T33" s="13">
        <f>VLOOKUP(B33,[17]Sheet1!$C$2:$F$14,4,FALSE)</f>
        <v>7933.2880859375</v>
      </c>
      <c r="U33" s="13">
        <f>VLOOKUP(B33,[18]Sheet1!$C$2:$F$11,4,FALSE)</f>
        <v>30767.052734375</v>
      </c>
      <c r="V33" s="2">
        <f>VLOOKUP(B33,[19]Sheet1!$C$2:$F$15,4,FALSE)</f>
        <v>149.21742248535199</v>
      </c>
      <c r="W33" s="2">
        <f>VLOOKUP(B33,[20]Sheet1!$C$2:$F$12,4,FALSE)</f>
        <v>107.55072021484401</v>
      </c>
      <c r="X33" s="2">
        <f>VLOOKUP(B33,[21]Sheet1!$C$2:$F$12,4,FALSE)</f>
        <v>114.54738616943401</v>
      </c>
      <c r="Y33" s="2">
        <f>VLOOKUP(B33,[22]Sheet1!$C$2:$F$15,4,FALSE)</f>
        <v>53.504867553710902</v>
      </c>
      <c r="Z33" s="14">
        <v>9.03884053230286</v>
      </c>
      <c r="AA33" s="2">
        <f>VLOOKUP(B33,[23]Sheet1!$C$2:$F$13,4,FALSE)</f>
        <v>4.0935406684875497</v>
      </c>
      <c r="AB33" s="2">
        <f>VLOOKUP(B33,[24]Sheet1!$C$2:$F$12,4,FALSE)</f>
        <v>18.446369171142599</v>
      </c>
      <c r="AC33" s="2">
        <f>VLOOKUP(B33,[25]Sheet1!$C$2:$F$15,4,FALSE)</f>
        <v>105.14639282226599</v>
      </c>
      <c r="AE33" s="2">
        <f>VLOOKUP(B33,[27]Sheet1!$C$2:$F$13,4,FALSE)</f>
        <v>201.68531799316401</v>
      </c>
      <c r="AF33" s="2">
        <f>VLOOKUP(B33,[28]Sheet1!$C$2:$F$15,4,FALSE)</f>
        <v>200.74533081054699</v>
      </c>
      <c r="AJ33" s="2">
        <f>VLOOKUP(B33,[32]Sheet1!$C$2:$F$11,4,FALSE)</f>
        <v>177.90957641601599</v>
      </c>
      <c r="AK33" s="2">
        <f>VLOOKUP(B33,[33]Sheet1!$C$2:$F$12,4,FALSE)</f>
        <v>49.442169189453097</v>
      </c>
      <c r="AL33" s="13">
        <f>VLOOKUP(B33,[34]Sheet1!$C$2:$F$13,4,FALSE)</f>
        <v>2038.67700195312</v>
      </c>
      <c r="AM33" s="2">
        <f>VLOOKUP(B33,[35]Sheet1!$C$2:$F$11,4,FALSE)</f>
        <v>63.561077117919901</v>
      </c>
      <c r="AN33" s="2">
        <f>VLOOKUP(B33,[36]Sheet1!$C$2:$F$14,4,FALSE)</f>
        <v>37.014644622802699</v>
      </c>
      <c r="AO33" s="2">
        <f>VLOOKUP(B33,[37]Sheet1!$C$2:$F$10,4,FALSE)</f>
        <v>81.960296630859403</v>
      </c>
      <c r="AQ33" s="2">
        <f>VLOOKUP(B33,[39]Sheet1!$C$2:$F$13,4,FALSE)</f>
        <v>110.18327331543</v>
      </c>
      <c r="AR33" s="2">
        <f>VLOOKUP(B33,[40]Sheet1!$C$2:$F$12,4,FALSE)</f>
        <v>177.44448852539099</v>
      </c>
      <c r="AS33" s="2">
        <f>VLOOKUP(B33,[61]Sheet1!$C$2:$F$12,4,FALSE)</f>
        <v>127.802658081055</v>
      </c>
      <c r="AT33" s="2">
        <f>VLOOKUP(B33,[41]Sheet1!$C$2:$F$14,4,FALSE)</f>
        <v>29.976366043090799</v>
      </c>
      <c r="AU33" s="2">
        <f>VLOOKUP(B33,[42]Sheet1!$C$2:$F$11,4,FALSE)</f>
        <v>54.192188262939503</v>
      </c>
      <c r="AV33" s="2">
        <f>VLOOKUP(B33,[43]Sheet1!$C$2:$F$17,4,FALSE)</f>
        <v>4.4907908439636204</v>
      </c>
      <c r="AW33" s="2">
        <f>VLOOKUP(B33,[44]Sheet1!$C$2:$F$11,4,FALSE)</f>
        <v>192.49801635742199</v>
      </c>
      <c r="AY33" s="2">
        <f>VLOOKUP(B33,[62]Sheet1!$C$2:$F$12,4,FALSE)</f>
        <v>155.15594482421901</v>
      </c>
      <c r="BB33" s="2">
        <f>VLOOKUP(B33,[48]Sheet1!$C$2:$F$16,4,FALSE)</f>
        <v>35.350118637084996</v>
      </c>
      <c r="BC33" s="2">
        <f>VLOOKUP(B33,[49]Sheet1!$C$2:$F$12,4,FALSE)</f>
        <v>26.949020385742202</v>
      </c>
      <c r="BD33" s="2">
        <f>VLOOKUP(B33,[50]Sheet1!$C$2:$F$13,4,FALSE)</f>
        <v>17.8178310394287</v>
      </c>
      <c r="BF33" s="2">
        <f>VLOOKUP(B33,[52]Sheet1!$C$2:$F$13,4,FALSE)</f>
        <v>18.603447437286398</v>
      </c>
      <c r="BG33" s="2">
        <v>102.585075378418</v>
      </c>
      <c r="BI33" s="2">
        <f>VLOOKUP(B33,[54]Sheet1!$C$2:$F$8,4,FALSE)</f>
        <v>1.87754786014557</v>
      </c>
      <c r="BJ33" s="2">
        <f>VLOOKUP(B33,[55]Sheet1!$C$2:$F$12,4,FALSE)</f>
        <v>148.23573303222699</v>
      </c>
      <c r="BM33" s="2">
        <f>VLOOKUP(B33,[57]Sheet1!$C$2:$F$11,4,FALSE)</f>
        <v>1.2585756778717001</v>
      </c>
    </row>
    <row r="34" spans="1:68" ht="16" x14ac:dyDescent="0.35">
      <c r="A34" s="6">
        <v>33</v>
      </c>
      <c r="B34" s="10" t="s">
        <v>100</v>
      </c>
      <c r="C34" s="11">
        <v>2415.1357421875</v>
      </c>
      <c r="D34" s="2">
        <f>VLOOKUP(B34,[1]Sheet1!$C$3:$F$14,4,FALSE)</f>
        <v>47.269773483276403</v>
      </c>
      <c r="E34" s="2">
        <f>VLOOKUP(B34,[2]Sheet1!$C$2:$F$13,4,FALSE)</f>
        <v>35.934050559997601</v>
      </c>
      <c r="F34" s="2">
        <f>VLOOKUP(B34,[3]Sheet1!$C$3:$F$15,4,FALSE)</f>
        <v>31.316911697387699</v>
      </c>
      <c r="G34" s="2">
        <f>VLOOKUP(B34,[4]Sheet1!$C$3:$F$13,4,FALSE)</f>
        <v>28.930688858032202</v>
      </c>
      <c r="H34" s="2">
        <f>VLOOKUP(B34,[5]Sheet1!$C$2:$F$12,4,FALSE)</f>
        <v>26.6085958480835</v>
      </c>
      <c r="I34" s="2">
        <f>VLOOKUP(B34,[6]Sheet1!$C$2:$F$14,4,FALSE)</f>
        <v>35.790965080261202</v>
      </c>
      <c r="J34" s="2">
        <f>VLOOKUP(B34,[7]Sheet1!$C$2:$F$15,4,FALSE)</f>
        <v>35.191352844238303</v>
      </c>
      <c r="K34" s="2">
        <f>VLOOKUP(B34,[8]Sheet1!$C$2:$F$16,4,FALSE)</f>
        <v>42.828758239746101</v>
      </c>
      <c r="L34" s="2">
        <f>VLOOKUP(B34,[9]Sheet1!$C$2:$F$10,4,FALSE)</f>
        <v>35.586994171142599</v>
      </c>
      <c r="M34" s="2">
        <f>VLOOKUP(B34,[10]Sheet1!$C$2:$F$13,4,FALSE)</f>
        <v>47.375896453857401</v>
      </c>
      <c r="N34" s="13">
        <f>VLOOKUP(B34,[11]Sheet1!$C$2:$F$12,4,FALSE)</f>
        <v>9539.341796875</v>
      </c>
      <c r="O34" s="2">
        <f>VLOOKUP(B34,[12]Sheet1!$C$2:$F$17,4,FALSE)</f>
        <v>66.675971984863295</v>
      </c>
      <c r="P34" s="2">
        <f>VLOOKUP(B34,[13]Sheet1!$C$2:$F$11,4,FALSE)</f>
        <v>55.449123382568402</v>
      </c>
      <c r="Q34" s="2">
        <f>VLOOKUP(B34,[14]Sheet1!$C$2:$F$13,4,FALSE)</f>
        <v>1.6568312644958501</v>
      </c>
      <c r="R34" s="2">
        <f>VLOOKUP(B34,[15]Sheet1!$C$2:$F$15,4,FALSE)</f>
        <v>5282.46728515625</v>
      </c>
      <c r="S34" s="2">
        <f>VLOOKUP(B34,[16]Sheet1!$C$2:$F$15,4,FALSE)</f>
        <v>87.1533203125</v>
      </c>
      <c r="T34" s="13">
        <f>VLOOKUP(B34,[17]Sheet1!$C$2:$F$14,4,FALSE)</f>
        <v>795.50872802734398</v>
      </c>
      <c r="U34" s="13">
        <f>VLOOKUP(B34,[18]Sheet1!$C$2:$F$11,4,FALSE)</f>
        <v>21215.65625</v>
      </c>
      <c r="V34" s="2">
        <f>VLOOKUP(B34,[19]Sheet1!$C$2:$F$15,4,FALSE)</f>
        <v>71.748580932617202</v>
      </c>
      <c r="W34" s="2">
        <f>VLOOKUP(B34,[20]Sheet1!$C$2:$F$12,4,FALSE)</f>
        <v>64.925127029418903</v>
      </c>
      <c r="X34" s="2">
        <f>VLOOKUP(B34,[21]Sheet1!$C$2:$F$12,4,FALSE)</f>
        <v>59.109413146972699</v>
      </c>
      <c r="Y34" s="2">
        <f>VLOOKUP(B34,[22]Sheet1!$C$2:$F$15,4,FALSE)</f>
        <v>49.988033294677699</v>
      </c>
      <c r="Z34" s="14">
        <v>26.618249893188501</v>
      </c>
      <c r="AA34" s="2">
        <f>VLOOKUP(B34,[23]Sheet1!$C$2:$F$13,4,FALSE)</f>
        <v>2.9484828710555999</v>
      </c>
      <c r="AB34" s="2">
        <f>VLOOKUP(B34,[24]Sheet1!$C$2:$F$12,4,FALSE)</f>
        <v>36.327563285827601</v>
      </c>
      <c r="AC34" s="2">
        <f>VLOOKUP(B34,[25]Sheet1!$C$2:$F$15,4,FALSE)</f>
        <v>24.5783853530884</v>
      </c>
      <c r="AD34" s="2">
        <f>VLOOKUP(B34,[26]Sheet1!$C$2:$F$9,4,FALSE)</f>
        <v>30.518873214721701</v>
      </c>
      <c r="AE34" s="2">
        <f>VLOOKUP(B34,[27]Sheet1!$C$2:$F$13,4,FALSE)</f>
        <v>14.751669883728001</v>
      </c>
      <c r="AF34" s="2">
        <f>VLOOKUP(B34,[28]Sheet1!$C$2:$F$15,4,FALSE)</f>
        <v>24.162216186523398</v>
      </c>
      <c r="AG34" s="2">
        <f>VLOOKUP(B34,[29]Sheet1!$C$2:$F$12,4,FALSE)</f>
        <v>37.954357147216797</v>
      </c>
      <c r="AH34" s="2">
        <f>VLOOKUP(B34,[30]Sheet1!$C$2:$F$12,4,FALSE)</f>
        <v>21.361442565918001</v>
      </c>
      <c r="AI34" s="2">
        <f>VLOOKUP(B34,[31]Sheet1!$C$2:$F$12,4,FALSE)</f>
        <v>56.902198791503899</v>
      </c>
      <c r="AJ34" s="2">
        <f>VLOOKUP(B34,[32]Sheet1!$C$2:$F$11,4,FALSE)</f>
        <v>55.306053161621101</v>
      </c>
      <c r="AK34" s="2">
        <f>VLOOKUP(B34,[33]Sheet1!$C$2:$F$12,4,FALSE)</f>
        <v>55.259941101074197</v>
      </c>
      <c r="AL34" s="13">
        <f>VLOOKUP(B34,[34]Sheet1!$C$2:$F$13,4,FALSE)</f>
        <v>41107.90234375</v>
      </c>
      <c r="AM34" s="2">
        <f>VLOOKUP(B34,[35]Sheet1!$C$2:$F$11,4,FALSE)</f>
        <v>31.718086242675799</v>
      </c>
      <c r="AN34" s="2">
        <f>VLOOKUP(B34,[36]Sheet1!$C$2:$F$14,4,FALSE)</f>
        <v>10.923448562622101</v>
      </c>
      <c r="AO34" s="2">
        <f>VLOOKUP(B34,[37]Sheet1!$C$2:$F$10,4,FALSE)</f>
        <v>48.5377006530762</v>
      </c>
      <c r="AP34" s="2">
        <f>VLOOKUP(B34,[38]Sheet1!$C$2:$F$9,4,FALSE)</f>
        <v>55.258083343505902</v>
      </c>
      <c r="AQ34" s="2">
        <f>VLOOKUP(B34,[39]Sheet1!$C$2:$F$13,4,FALSE)</f>
        <v>43.124725341796903</v>
      </c>
      <c r="AR34" s="2">
        <f>VLOOKUP(B34,[40]Sheet1!$C$2:$F$12,4,FALSE)</f>
        <v>25.825401306152301</v>
      </c>
      <c r="AS34" s="2">
        <f>VLOOKUP(B34,[61]Sheet1!$C$2:$F$12,4,FALSE)</f>
        <v>11.5201778411865</v>
      </c>
      <c r="AT34" s="2">
        <f>VLOOKUP(B34,[41]Sheet1!$C$2:$F$14,4,FALSE)</f>
        <v>27.451393127441399</v>
      </c>
      <c r="AU34" s="2">
        <f>VLOOKUP(B34,[42]Sheet1!$C$2:$F$11,4,FALSE)</f>
        <v>1.6291753053665201</v>
      </c>
      <c r="AV34" s="2">
        <f>VLOOKUP(B34,[43]Sheet1!$C$2:$F$17,4,FALSE)</f>
        <v>46.4418849945068</v>
      </c>
      <c r="AW34" s="2">
        <f>VLOOKUP(B34,[44]Sheet1!$C$2:$F$11,4,FALSE)</f>
        <v>28.658267974853501</v>
      </c>
      <c r="AX34" s="2">
        <f>VLOOKUP(B34,[45]Sheet1!$C$2:$F$10,4,FALSE)</f>
        <v>18.300692558288599</v>
      </c>
      <c r="AY34" s="2">
        <f>VLOOKUP(B34,[62]Sheet1!$C$2:$F$12,4,FALSE)</f>
        <v>62.903192520141602</v>
      </c>
      <c r="AZ34" s="2">
        <f>VLOOKUP(B34,[46]Sheet1!$C$2:$F$12,4,FALSE)</f>
        <v>32.223346710205099</v>
      </c>
      <c r="BA34" s="2">
        <f>VLOOKUP(B34,[47]Sheet1!$C$2:$F$12,4,FALSE)</f>
        <v>23.032335281372099</v>
      </c>
      <c r="BB34" s="2">
        <f>VLOOKUP(B34,[48]Sheet1!$C$2:$F$16,4,FALSE)</f>
        <v>36.744903564453097</v>
      </c>
      <c r="BC34" s="2">
        <f>VLOOKUP(B34,[49]Sheet1!$C$2:$F$12,4,FALSE)</f>
        <v>24.9024658203125</v>
      </c>
      <c r="BD34" s="2">
        <f>VLOOKUP(B34,[50]Sheet1!$C$2:$F$13,4,FALSE)</f>
        <v>31.734086990356399</v>
      </c>
      <c r="BE34" s="2">
        <f>VLOOKUP(B34,[51]Sheet1!$C$2:$F$10,4,FALSE)</f>
        <v>42.832576751708999</v>
      </c>
      <c r="BF34" s="2">
        <f>VLOOKUP(B34,[52]Sheet1!$C$2:$F$13,4,FALSE)</f>
        <v>54.731346130371101</v>
      </c>
      <c r="BG34" s="2">
        <v>1.4547792673111</v>
      </c>
      <c r="BJ34" s="2">
        <f>VLOOKUP(B34,[55]Sheet1!$C$2:$F$12,4,FALSE)</f>
        <v>47.283744812011697</v>
      </c>
      <c r="BN34" s="2">
        <f>VLOOKUP(B34,[58]Sheet1!$C$2:$F$10,4,FALSE)</f>
        <v>1.3326662778854399</v>
      </c>
    </row>
    <row r="35" spans="1:68" ht="16" x14ac:dyDescent="0.35">
      <c r="A35" s="6">
        <v>34</v>
      </c>
      <c r="B35" s="10" t="s">
        <v>101</v>
      </c>
      <c r="C35" s="11">
        <v>16.558109283447301</v>
      </c>
      <c r="D35" s="2">
        <f>VLOOKUP(B35,[1]Sheet1!$C$3:$F$14,4,FALSE)</f>
        <v>2.5354194641113299</v>
      </c>
      <c r="E35" s="2">
        <f>VLOOKUP(B35,[2]Sheet1!$C$2:$F$13,4,FALSE)</f>
        <v>2.0996269583702101</v>
      </c>
      <c r="F35" s="2">
        <f>VLOOKUP(B35,[3]Sheet1!$C$3:$F$15,4,FALSE)</f>
        <v>0.47757482528686501</v>
      </c>
      <c r="G35" s="2">
        <f>VLOOKUP(B35,[4]Sheet1!$C$3:$F$13,4,FALSE)</f>
        <v>3.0058863162994398</v>
      </c>
      <c r="H35" s="2">
        <f>VLOOKUP(B35,[5]Sheet1!$C$2:$F$12,4,FALSE)</f>
        <v>0.79194426536560103</v>
      </c>
      <c r="I35" s="2">
        <f>VLOOKUP(B35,[6]Sheet1!$C$2:$F$14,4,FALSE)</f>
        <v>1.5022226572036701</v>
      </c>
      <c r="J35" s="2">
        <f>VLOOKUP(B35,[7]Sheet1!$C$2:$F$15,4,FALSE)</f>
        <v>0.309245586395264</v>
      </c>
      <c r="K35" s="2">
        <f>VLOOKUP(B35,[8]Sheet1!$C$2:$F$16,4,FALSE)</f>
        <v>0.83566820621490501</v>
      </c>
      <c r="L35" s="2">
        <f>VLOOKUP(B35,[9]Sheet1!$C$2:$F$10,4,FALSE)</f>
        <v>0.300648674368858</v>
      </c>
      <c r="M35" s="2">
        <f>VLOOKUP(B35,[10]Sheet1!$C$2:$F$13,4,FALSE)</f>
        <v>0.52403423190116905</v>
      </c>
      <c r="N35" s="13">
        <f>VLOOKUP(B35,[11]Sheet1!$C$2:$F$12,4,FALSE)</f>
        <v>133.79478836059599</v>
      </c>
      <c r="O35" s="2">
        <f>VLOOKUP(B35,[12]Sheet1!$C$2:$F$17,4,FALSE)</f>
        <v>0.40698900818824801</v>
      </c>
      <c r="Q35" s="2">
        <f>VLOOKUP(B35,[14]Sheet1!$C$2:$F$13,4,FALSE)</f>
        <v>0.73189744353294395</v>
      </c>
      <c r="R35" s="2">
        <f>VLOOKUP(B35,[15]Sheet1!$C$2:$F$15,4,FALSE)</f>
        <v>111.541652679443</v>
      </c>
      <c r="S35" s="2">
        <f>VLOOKUP(B35,[16]Sheet1!$C$2:$F$15,4,FALSE)</f>
        <v>0.79269200563430797</v>
      </c>
      <c r="T35" s="13">
        <f>VLOOKUP(B35,[17]Sheet1!$C$2:$F$14,4,FALSE)</f>
        <v>105.12953948974599</v>
      </c>
      <c r="U35" s="13"/>
      <c r="V35" s="2">
        <f>VLOOKUP(B35,[19]Sheet1!$C$2:$F$15,4,FALSE)</f>
        <v>0.186710804700851</v>
      </c>
      <c r="X35" s="2">
        <f>VLOOKUP(B35,[21]Sheet1!$C$2:$F$12,4,FALSE)</f>
        <v>0.27642253041267401</v>
      </c>
      <c r="Y35" s="2">
        <f>VLOOKUP(B35,[22]Sheet1!$C$2:$F$15,4,FALSE)</f>
        <v>0.36996145546436299</v>
      </c>
      <c r="Z35" s="14"/>
      <c r="AA35" s="2">
        <f>VLOOKUP(B35,[23]Sheet1!$C$2:$F$13,4,FALSE)</f>
        <v>0.44694949686527302</v>
      </c>
      <c r="AB35" s="2">
        <f>VLOOKUP(B35,[24]Sheet1!$C$2:$F$12,4,FALSE)</f>
        <v>0.52681209146976504</v>
      </c>
      <c r="AC35" s="2">
        <f>VLOOKUP(B35,[25]Sheet1!$C$2:$F$15,4,FALSE)</f>
        <v>0.67447166144847903</v>
      </c>
      <c r="AD35" s="2">
        <f>VLOOKUP(B35,[26]Sheet1!$C$2:$F$9,4,FALSE)</f>
        <v>0.180023208260536</v>
      </c>
      <c r="AE35" s="2">
        <f>VLOOKUP(B35,[27]Sheet1!$C$2:$F$13,4,FALSE)</f>
        <v>1.30258333683014</v>
      </c>
      <c r="AF35" s="2">
        <f>VLOOKUP(B35,[28]Sheet1!$C$2:$F$15,4,FALSE)</f>
        <v>1.26537781953812</v>
      </c>
      <c r="AG35" s="2">
        <f>VLOOKUP(B35,[29]Sheet1!$C$2:$F$12,4,FALSE)</f>
        <v>0.41112291812896701</v>
      </c>
      <c r="AH35" s="2">
        <f>VLOOKUP(B35,[30]Sheet1!$C$2:$F$12,4,FALSE)</f>
        <v>2.05702084302902</v>
      </c>
      <c r="AI35" s="2">
        <f>VLOOKUP(B35,[31]Sheet1!$C$2:$F$12,4,FALSE)</f>
        <v>0.52424068748951003</v>
      </c>
      <c r="AJ35" s="2">
        <f>VLOOKUP(B35,[32]Sheet1!$C$2:$F$11,4,FALSE)</f>
        <v>0.32480588555335999</v>
      </c>
      <c r="AK35" s="2">
        <f>VLOOKUP(B35,[33]Sheet1!$C$2:$F$12,4,FALSE)</f>
        <v>8.11083936691284</v>
      </c>
      <c r="AL35" s="13">
        <f>VLOOKUP(B35,[34]Sheet1!$C$2:$F$13,4,FALSE)</f>
        <v>11617.515625</v>
      </c>
      <c r="AM35" s="2">
        <f>VLOOKUP(B35,[35]Sheet1!$C$2:$F$11,4,FALSE)</f>
        <v>0.72755783796310403</v>
      </c>
      <c r="AN35" s="2">
        <f>VLOOKUP(B35,[36]Sheet1!$C$2:$F$14,4,FALSE)</f>
        <v>1.6504628062248199</v>
      </c>
      <c r="AQ35" s="2">
        <f>VLOOKUP(B35,[39]Sheet1!$C$2:$F$13,4,FALSE)</f>
        <v>1.2835443019866899</v>
      </c>
      <c r="AR35" s="2">
        <f>VLOOKUP(B35,[40]Sheet1!$C$2:$F$12,4,FALSE)</f>
        <v>1.17661476135254</v>
      </c>
      <c r="AS35" s="2">
        <f>VLOOKUP(B35,[61]Sheet1!$C$2:$F$12,4,FALSE)</f>
        <v>0.494117051362991</v>
      </c>
      <c r="AT35" s="2">
        <f>VLOOKUP(B35,[41]Sheet1!$C$2:$F$14,4,FALSE)</f>
        <v>0.11047237366437899</v>
      </c>
      <c r="AU35" s="2">
        <f>VLOOKUP(B35,[42]Sheet1!$C$2:$F$11,4,FALSE)</f>
        <v>0.12819997966289501</v>
      </c>
      <c r="AV35" s="2">
        <f>VLOOKUP(B35,[43]Sheet1!$C$2:$F$17,4,FALSE)</f>
        <v>0.46247898042202001</v>
      </c>
      <c r="AW35" s="2">
        <f>VLOOKUP(B35,[44]Sheet1!$C$2:$F$11,4,FALSE)</f>
        <v>1.5922603607177701</v>
      </c>
      <c r="AX35" s="2">
        <f>VLOOKUP(B35,[45]Sheet1!$C$2:$F$10,4,FALSE)</f>
        <v>1.180261105299</v>
      </c>
      <c r="AY35" s="2">
        <f>VLOOKUP(B35,[62]Sheet1!$C$2:$F$12,4,FALSE)</f>
        <v>0.93209856748580899</v>
      </c>
      <c r="AZ35" s="2">
        <f>VLOOKUP(B35,[46]Sheet1!$C$2:$F$12,4,FALSE)</f>
        <v>1.95698571205139</v>
      </c>
      <c r="BA35" s="2">
        <f>VLOOKUP(B35,[47]Sheet1!$C$2:$F$12,4,FALSE)</f>
        <v>0.77888709306716897</v>
      </c>
      <c r="BB35" s="2">
        <f>VLOOKUP(B35,[48]Sheet1!$C$2:$F$16,4,FALSE)</f>
        <v>0.32180092483758899</v>
      </c>
      <c r="BC35" s="2">
        <f>VLOOKUP(B35,[49]Sheet1!$C$2:$F$12,4,FALSE)</f>
        <v>0.213295668363571</v>
      </c>
      <c r="BD35" s="2">
        <f>VLOOKUP(B35,[50]Sheet1!$C$2:$F$13,4,FALSE)</f>
        <v>0.32080039381980902</v>
      </c>
      <c r="BE35" s="2">
        <f>VLOOKUP(B35,[51]Sheet1!$C$2:$F$10,4,FALSE)</f>
        <v>0.117440059781075</v>
      </c>
      <c r="BF35" s="2">
        <f>VLOOKUP(B35,[52]Sheet1!$C$2:$F$13,4,FALSE)</f>
        <v>0.20681123435497301</v>
      </c>
      <c r="BG35" s="2">
        <v>0.74106237292289701</v>
      </c>
      <c r="BH35" s="2">
        <f>VLOOKUP(B35,[53]Sheet1!$C$2:$F$13,4,FALSE)</f>
        <v>7.2646684944629697E-2</v>
      </c>
      <c r="BI35" s="2">
        <f>VLOOKUP(B35,[54]Sheet1!$C$2:$F$8,4,FALSE)</f>
        <v>0.44326812028884899</v>
      </c>
      <c r="BJ35" s="2">
        <f>VLOOKUP(B35,[55]Sheet1!$C$2:$F$12,4,FALSE)</f>
        <v>15.229518413543699</v>
      </c>
      <c r="BM35" s="2">
        <f>VLOOKUP(B35,[57]Sheet1!$C$2:$F$11,4,FALSE)</f>
        <v>0.30308488011360202</v>
      </c>
      <c r="BN35" s="2">
        <f>VLOOKUP(B35,[58]Sheet1!$C$2:$F$10,4,FALSE)</f>
        <v>0.179681152105331</v>
      </c>
      <c r="BO35" s="2">
        <f>VLOOKUP(B35,[59]Sheet1!$C$3:$F$9,4,FALSE)</f>
        <v>9.79361683130264E-2</v>
      </c>
    </row>
    <row r="36" spans="1:68" ht="16" x14ac:dyDescent="0.35">
      <c r="A36" s="6">
        <v>35</v>
      </c>
      <c r="B36" s="10" t="s">
        <v>102</v>
      </c>
      <c r="C36" s="11">
        <v>28.995311737060501</v>
      </c>
      <c r="E36" s="2">
        <f>VLOOKUP(B36,[2]Sheet1!$C$2:$F$13,4,FALSE)</f>
        <v>0.88996723294258095</v>
      </c>
      <c r="G36" s="2">
        <f>VLOOKUP(B36,[4]Sheet1!$C$3:$F$13,4,FALSE)</f>
        <v>0.56688882410526298</v>
      </c>
      <c r="I36" s="2">
        <f>VLOOKUP(B36,[6]Sheet1!$C$2:$F$14,4,FALSE)</f>
        <v>0.57965487241744995</v>
      </c>
      <c r="J36" s="2">
        <f>VLOOKUP(B36,[7]Sheet1!$C$2:$F$15,4,FALSE)</f>
        <v>0.962308809161186</v>
      </c>
      <c r="K36" s="2">
        <f>VLOOKUP(B36,[8]Sheet1!$C$2:$F$16,4,FALSE)</f>
        <v>1.1237323284149201</v>
      </c>
      <c r="M36" s="2">
        <f>VLOOKUP(B36,[10]Sheet1!$C$2:$F$13,4,FALSE)</f>
        <v>0.26608905196189903</v>
      </c>
      <c r="N36" s="13"/>
      <c r="O36" s="2">
        <f>VLOOKUP(B36,[12]Sheet1!$C$2:$F$17,4,FALSE)</f>
        <v>0.22163076698780099</v>
      </c>
      <c r="R36" s="2">
        <f>VLOOKUP(B36,[15]Sheet1!$C$2:$F$15,4,FALSE)</f>
        <v>43.966537475585902</v>
      </c>
      <c r="T36" s="13"/>
      <c r="U36" s="13"/>
      <c r="V36" s="2">
        <f>VLOOKUP(B36,[19]Sheet1!$C$2:$F$15,4,FALSE)</f>
        <v>0.293312698602676</v>
      </c>
      <c r="W36" s="2">
        <f>VLOOKUP(B36,[20]Sheet1!$C$2:$F$12,4,FALSE)</f>
        <v>0.15939913690090199</v>
      </c>
      <c r="Z36" s="14"/>
      <c r="AB36" s="2">
        <f>VLOOKUP(B36,[24]Sheet1!$C$2:$F$12,4,FALSE)</f>
        <v>0.12764437496662101</v>
      </c>
      <c r="AC36" s="2">
        <f>VLOOKUP(B36,[25]Sheet1!$C$2:$F$15,4,FALSE)</f>
        <v>0.280778467655182</v>
      </c>
      <c r="AE36" s="2">
        <f>VLOOKUP(B36,[27]Sheet1!$C$2:$F$13,4,FALSE)</f>
        <v>0.39379444718360901</v>
      </c>
      <c r="AF36" s="2">
        <f>VLOOKUP(B36,[28]Sheet1!$C$2:$F$15,4,FALSE)</f>
        <v>0.625025033950806</v>
      </c>
      <c r="AG36" s="2">
        <f>VLOOKUP(B36,[29]Sheet1!$C$2:$F$12,4,FALSE)</f>
        <v>0.407295972108841</v>
      </c>
      <c r="AH36" s="2">
        <f>VLOOKUP(B36,[30]Sheet1!$C$2:$F$12,4,FALSE)</f>
        <v>0.40064233541488598</v>
      </c>
      <c r="AI36" s="2">
        <f>VLOOKUP(B36,[31]Sheet1!$C$2:$F$12,4,FALSE)</f>
        <v>0.74547648429870605</v>
      </c>
      <c r="AK36" s="2">
        <f>VLOOKUP(B36,[33]Sheet1!$C$2:$F$12,4,FALSE)</f>
        <v>3.8569024801254299</v>
      </c>
      <c r="AL36" s="13">
        <f>VLOOKUP(B36,[34]Sheet1!$C$2:$F$13,4,FALSE)</f>
        <v>1425.29748535156</v>
      </c>
      <c r="AN36" s="2">
        <f>VLOOKUP(B36,[36]Sheet1!$C$2:$F$14,4,FALSE)</f>
        <v>0.61699704825878099</v>
      </c>
      <c r="AQ36" s="2">
        <f>VLOOKUP(B36,[39]Sheet1!$C$2:$F$13,4,FALSE)</f>
        <v>0.874610096216202</v>
      </c>
      <c r="AR36" s="2">
        <f>VLOOKUP(B36,[40]Sheet1!$C$2:$F$12,4,FALSE)</f>
        <v>1.1376801729202299</v>
      </c>
      <c r="AS36" s="2">
        <f>VLOOKUP(B36,[61]Sheet1!$C$2:$F$12,4,FALSE)</f>
        <v>0.50148391723632801</v>
      </c>
      <c r="AV36" s="2">
        <f>VLOOKUP(B36,[43]Sheet1!$C$2:$F$17,4,FALSE)</f>
        <v>1.07203876972198</v>
      </c>
      <c r="AY36" s="2">
        <f>VLOOKUP(B36,[62]Sheet1!$C$2:$F$12,4,FALSE)</f>
        <v>1.2260836064815499</v>
      </c>
      <c r="AZ36" s="2">
        <f>VLOOKUP(B36,[46]Sheet1!$C$2:$F$12,4,FALSE)</f>
        <v>1.25310063362122</v>
      </c>
      <c r="BA36" s="2">
        <f>VLOOKUP(B36,[47]Sheet1!$C$2:$F$12,4,FALSE)</f>
        <v>1.40066874027252</v>
      </c>
      <c r="BB36" s="2">
        <f>VLOOKUP(B36,[48]Sheet1!$C$2:$F$16,4,FALSE)</f>
        <v>0.149952277541161</v>
      </c>
      <c r="BE36" s="2">
        <f>VLOOKUP(B36,[51]Sheet1!$C$2:$F$10,4,FALSE)</f>
        <v>0.14559336006641399</v>
      </c>
      <c r="BG36" s="2">
        <v>0.32596892118454002</v>
      </c>
      <c r="BH36" s="2">
        <f>VLOOKUP(B36,[53]Sheet1!$C$2:$F$13,4,FALSE)</f>
        <v>0.103539891541004</v>
      </c>
      <c r="BM36" s="2">
        <f>VLOOKUP(B36,[57]Sheet1!$C$2:$F$11,4,FALSE)</f>
        <v>0.191938906908035</v>
      </c>
      <c r="BN36" s="2">
        <f>VLOOKUP(B36,[58]Sheet1!$C$2:$F$10,4,FALSE)</f>
        <v>0.175878405570984</v>
      </c>
    </row>
    <row r="37" spans="1:68" ht="16" x14ac:dyDescent="0.35">
      <c r="A37" s="6">
        <v>36</v>
      </c>
      <c r="B37" s="10" t="s">
        <v>103</v>
      </c>
      <c r="C37" s="11">
        <v>34.210800170898402</v>
      </c>
      <c r="D37" s="2">
        <f>VLOOKUP(B37,[1]Sheet1!$C$3:$F$14,4,FALSE)</f>
        <v>1.0962823629379299</v>
      </c>
      <c r="E37" s="2">
        <f>VLOOKUP(B37,[2]Sheet1!$C$2:$F$13,4,FALSE)</f>
        <v>1.1859510540962199</v>
      </c>
      <c r="F37" s="2">
        <f>VLOOKUP(B37,[3]Sheet1!$C$3:$F$15,4,FALSE)</f>
        <v>0.82493752241134599</v>
      </c>
      <c r="G37" s="2">
        <f>VLOOKUP(B37,[4]Sheet1!$C$3:$F$13,4,FALSE)</f>
        <v>1.0519497394561801</v>
      </c>
      <c r="H37" s="2">
        <f>VLOOKUP(B37,[5]Sheet1!$C$2:$F$12,4,FALSE)</f>
        <v>0.68969291448593095</v>
      </c>
      <c r="I37" s="2">
        <f>VLOOKUP(B37,[6]Sheet1!$C$2:$F$14,4,FALSE)</f>
        <v>0.972276151180267</v>
      </c>
      <c r="J37" s="2">
        <f>VLOOKUP(B37,[7]Sheet1!$C$2:$F$15,4,FALSE)</f>
        <v>1.5469610691070601</v>
      </c>
      <c r="K37" s="2">
        <f>VLOOKUP(B37,[8]Sheet1!$C$2:$F$16,4,FALSE)</f>
        <v>1.5477887392044101</v>
      </c>
      <c r="L37" s="2">
        <f>VLOOKUP(B37,[9]Sheet1!$C$2:$F$10,4,FALSE)</f>
        <v>0.98472577333450295</v>
      </c>
      <c r="M37" s="2">
        <f>VLOOKUP(B37,[10]Sheet1!$C$2:$F$13,4,FALSE)</f>
        <v>1.19464778900146</v>
      </c>
      <c r="N37" s="13">
        <f>VLOOKUP(B37,[11]Sheet1!$C$2:$F$12,4,FALSE)</f>
        <v>383.81558227539102</v>
      </c>
      <c r="O37" s="2">
        <f>VLOOKUP(B37,[12]Sheet1!$C$2:$F$17,4,FALSE)</f>
        <v>1.6514426469802901</v>
      </c>
      <c r="P37" s="2">
        <f>VLOOKUP(B37,[13]Sheet1!$C$2:$F$11,4,FALSE)</f>
        <v>1.65839695930481</v>
      </c>
      <c r="Q37" s="2">
        <f>VLOOKUP(B37,[14]Sheet1!$C$2:$F$13,4,FALSE)</f>
        <v>1.6619387865066499</v>
      </c>
      <c r="R37" s="2">
        <f>VLOOKUP(B37,[15]Sheet1!$C$2:$F$15,4,FALSE)</f>
        <v>259.26623535156301</v>
      </c>
      <c r="S37" s="2">
        <f>VLOOKUP(B37,[16]Sheet1!$C$2:$F$15,4,FALSE)</f>
        <v>1.58164763450623</v>
      </c>
      <c r="T37" s="13">
        <f>VLOOKUP(B37,[17]Sheet1!$C$2:$F$14,4,FALSE)</f>
        <v>116.55043792724599</v>
      </c>
      <c r="U37" s="13">
        <f>VLOOKUP(B37,[18]Sheet1!$C$2:$F$11,4,FALSE)</f>
        <v>452.18225097656301</v>
      </c>
      <c r="V37" s="2">
        <f>VLOOKUP(B37,[19]Sheet1!$C$2:$F$15,4,FALSE)</f>
        <v>1.63394510746002</v>
      </c>
      <c r="W37" s="2">
        <f>VLOOKUP(B37,[20]Sheet1!$C$2:$F$12,4,FALSE)</f>
        <v>1.10914754867554</v>
      </c>
      <c r="X37" s="2">
        <f>VLOOKUP(B37,[21]Sheet1!$C$2:$F$12,4,FALSE)</f>
        <v>1.20538353919983</v>
      </c>
      <c r="Y37" s="2">
        <f>VLOOKUP(B37,[22]Sheet1!$C$2:$F$15,4,FALSE)</f>
        <v>1.1611200571060201</v>
      </c>
      <c r="Z37" s="14">
        <v>1.3024603128433201</v>
      </c>
      <c r="AA37" s="2">
        <f>VLOOKUP(B37,[23]Sheet1!$C$2:$F$13,4,FALSE)</f>
        <v>1.7164571285247801</v>
      </c>
      <c r="AB37" s="2">
        <f>VLOOKUP(B37,[24]Sheet1!$C$2:$F$12,4,FALSE)</f>
        <v>1.1359337568283101</v>
      </c>
      <c r="AC37" s="2">
        <f>VLOOKUP(B37,[25]Sheet1!$C$2:$F$15,4,FALSE)</f>
        <v>2.1121242046356201</v>
      </c>
      <c r="AD37" s="2">
        <f>VLOOKUP(B37,[26]Sheet1!$C$2:$F$9,4,FALSE)</f>
        <v>1.6083015203476001</v>
      </c>
      <c r="AE37" s="2">
        <f>VLOOKUP(B37,[27]Sheet1!$C$2:$F$13,4,FALSE)</f>
        <v>1.4803824424743699</v>
      </c>
      <c r="AF37" s="2">
        <f>VLOOKUP(B37,[28]Sheet1!$C$2:$F$15,4,FALSE)</f>
        <v>1.39928030967712</v>
      </c>
      <c r="AG37" s="2">
        <f>VLOOKUP(B37,[29]Sheet1!$C$2:$F$12,4,FALSE)</f>
        <v>1.96231412887573</v>
      </c>
      <c r="AH37" s="2">
        <f>VLOOKUP(B37,[30]Sheet1!$C$2:$F$12,4,FALSE)</f>
        <v>1.5752261877059901</v>
      </c>
      <c r="AI37" s="2">
        <f>VLOOKUP(B37,[31]Sheet1!$C$2:$F$12,4,FALSE)</f>
        <v>1.5884952545166</v>
      </c>
      <c r="AJ37" s="2">
        <f>VLOOKUP(B37,[32]Sheet1!$C$2:$F$11,4,FALSE)</f>
        <v>1.98330473899841</v>
      </c>
      <c r="AK37" s="2">
        <f>VLOOKUP(B37,[33]Sheet1!$C$2:$F$12,4,FALSE)</f>
        <v>1.01944160461426</v>
      </c>
      <c r="AL37" s="13">
        <f>VLOOKUP(B37,[34]Sheet1!$C$2:$F$13,4,FALSE)</f>
        <v>379.27975463867199</v>
      </c>
      <c r="AM37" s="2">
        <f>VLOOKUP(B37,[35]Sheet1!$C$2:$F$11,4,FALSE)</f>
        <v>2.43460893630981</v>
      </c>
      <c r="AN37" s="2">
        <f>VLOOKUP(B37,[36]Sheet1!$C$2:$F$14,4,FALSE)</f>
        <v>1.08967649936676</v>
      </c>
      <c r="AO37" s="2">
        <f>VLOOKUP(B37,[37]Sheet1!$C$2:$F$10,4,FALSE)</f>
        <v>2.3160240650177002</v>
      </c>
      <c r="AP37" s="2">
        <f>VLOOKUP(B37,[38]Sheet1!$C$2:$F$9,4,FALSE)</f>
        <v>2.7370648384094198</v>
      </c>
      <c r="AQ37" s="2">
        <f>VLOOKUP(B37,[39]Sheet1!$C$2:$F$13,4,FALSE)</f>
        <v>1.14473176002502</v>
      </c>
      <c r="AR37" s="2">
        <f>VLOOKUP(B37,[40]Sheet1!$C$2:$F$12,4,FALSE)</f>
        <v>2.70010870695114</v>
      </c>
      <c r="AS37" s="2">
        <f>VLOOKUP(B37,[61]Sheet1!$C$2:$F$12,4,FALSE)</f>
        <v>1.5053343772888199</v>
      </c>
      <c r="AT37" s="2">
        <f>VLOOKUP(B37,[41]Sheet1!$C$2:$F$14,4,FALSE)</f>
        <v>1.2347550392150899</v>
      </c>
      <c r="AU37" s="2">
        <f>VLOOKUP(B37,[42]Sheet1!$C$2:$F$11,4,FALSE)</f>
        <v>1.2735513448715201</v>
      </c>
      <c r="AV37" s="2">
        <f>VLOOKUP(B37,[43]Sheet1!$C$2:$F$17,4,FALSE)</f>
        <v>1.65368556976318</v>
      </c>
      <c r="AW37" s="2">
        <f>VLOOKUP(B37,[44]Sheet1!$C$2:$F$11,4,FALSE)</f>
        <v>1.6824918985366799</v>
      </c>
      <c r="AX37" s="2">
        <f>VLOOKUP(B37,[45]Sheet1!$C$2:$F$10,4,FALSE)</f>
        <v>1.2343604564666699</v>
      </c>
      <c r="AY37" s="2">
        <f>VLOOKUP(B37,[62]Sheet1!$C$2:$F$12,4,FALSE)</f>
        <v>4.0421032905578604</v>
      </c>
      <c r="AZ37" s="2">
        <f>VLOOKUP(B37,[46]Sheet1!$C$2:$F$12,4,FALSE)</f>
        <v>1.83005619049072</v>
      </c>
      <c r="BA37" s="2">
        <f>VLOOKUP(B37,[47]Sheet1!$C$2:$F$12,4,FALSE)</f>
        <v>1.4921576976776101</v>
      </c>
      <c r="BB37" s="2">
        <f>VLOOKUP(B37,[48]Sheet1!$C$2:$F$16,4,FALSE)</f>
        <v>1.0979038476944001</v>
      </c>
      <c r="BC37" s="2">
        <f>VLOOKUP(B37,[49]Sheet1!$C$2:$F$12,4,FALSE)</f>
        <v>0.87988477945327803</v>
      </c>
      <c r="BD37" s="2">
        <f>VLOOKUP(B37,[50]Sheet1!$C$2:$F$13,4,FALSE)</f>
        <v>0.85947275161743197</v>
      </c>
      <c r="BE37" s="2">
        <f>VLOOKUP(B37,[51]Sheet1!$C$2:$F$10,4,FALSE)</f>
        <v>1.21685349941254</v>
      </c>
      <c r="BF37" s="2">
        <f>VLOOKUP(B37,[52]Sheet1!$C$2:$F$13,4,FALSE)</f>
        <v>1.57528877258301</v>
      </c>
      <c r="BG37" s="2">
        <v>1.79116427898407</v>
      </c>
      <c r="BH37" s="2">
        <f>VLOOKUP(B37,[53]Sheet1!$C$2:$F$13,4,FALSE)</f>
        <v>0.44201538711786298</v>
      </c>
      <c r="BN37" s="2">
        <f>VLOOKUP(B37,[58]Sheet1!$C$2:$F$10,4,FALSE)</f>
        <v>1.0391694605350501</v>
      </c>
    </row>
    <row r="38" spans="1:68" ht="16" x14ac:dyDescent="0.35">
      <c r="A38" s="6">
        <v>37</v>
      </c>
      <c r="B38" s="12" t="s">
        <v>104</v>
      </c>
      <c r="C38" s="11">
        <v>15.712507247924799</v>
      </c>
      <c r="F38" s="2">
        <f>VLOOKUP(B38,[3]Sheet1!$C$3:$F$15,4,FALSE)</f>
        <v>2.4533707648515701E-2</v>
      </c>
      <c r="H38" s="2">
        <f>VLOOKUP(B38,[5]Sheet1!$C$2:$F$12,4,FALSE)</f>
        <v>3.93356047570705E-2</v>
      </c>
      <c r="I38" s="2">
        <f>VLOOKUP(B38,[6]Sheet1!$C$2:$F$14,4,FALSE)</f>
        <v>0.137948237359524</v>
      </c>
      <c r="K38" s="2">
        <f>VLOOKUP(B38,[8]Sheet1!$C$2:$F$16,4,FALSE)</f>
        <v>3.1279839575290701E-2</v>
      </c>
      <c r="M38" s="2">
        <f>VLOOKUP(B38,[10]Sheet1!$C$2:$F$13,4,FALSE)</f>
        <v>1.8662794828414899</v>
      </c>
      <c r="N38" s="13"/>
      <c r="O38" s="2">
        <f>VLOOKUP(B38,[12]Sheet1!$C$2:$F$17,4,FALSE)</f>
        <v>2.5303976535797101</v>
      </c>
      <c r="P38" s="2">
        <f>VLOOKUP(B38,[13]Sheet1!$C$2:$F$11,4,FALSE)</f>
        <v>4.3659068644046797E-2</v>
      </c>
      <c r="R38" s="2">
        <f>VLOOKUP(B38,[15]Sheet1!$C$2:$F$15,4,FALSE)</f>
        <v>48.915904998779297</v>
      </c>
      <c r="S38" s="2">
        <f>VLOOKUP(B38,[16]Sheet1!$C$2:$F$15,4,FALSE)</f>
        <v>0.12833291292190599</v>
      </c>
      <c r="T38" s="13">
        <f>VLOOKUP(B38,[17]Sheet1!$C$2:$F$14,4,FALSE)</f>
        <v>6.0954718589782697</v>
      </c>
      <c r="U38" s="13">
        <f>VLOOKUP(B38,[18]Sheet1!$C$2:$F$11,4,FALSE)</f>
        <v>160.13232421875</v>
      </c>
      <c r="V38" s="2">
        <f>VLOOKUP(B38,[19]Sheet1!$C$2:$F$15,4,FALSE)</f>
        <v>0.23068168759346</v>
      </c>
      <c r="W38" s="2">
        <f>VLOOKUP(B38,[20]Sheet1!$C$2:$F$12,4,FALSE)</f>
        <v>0.12094893306493799</v>
      </c>
      <c r="X38" s="2">
        <f>VLOOKUP(B38,[21]Sheet1!$C$2:$F$12,4,FALSE)</f>
        <v>0.116362065076828</v>
      </c>
      <c r="Y38" s="2">
        <f>VLOOKUP(B38,[22]Sheet1!$C$2:$F$15,4,FALSE)</f>
        <v>3.2385103404521901E-2</v>
      </c>
      <c r="Z38" s="14"/>
      <c r="AA38" s="2">
        <f>VLOOKUP(B38,[23]Sheet1!$C$2:$F$13,4,FALSE)</f>
        <v>3.24137359857559E-2</v>
      </c>
      <c r="AF38" s="2">
        <f>VLOOKUP(B38,[28]Sheet1!$C$2:$F$15,4,FALSE)</f>
        <v>2.3379275798797599</v>
      </c>
      <c r="AH38" s="2">
        <f>VLOOKUP(B38,[30]Sheet1!$C$2:$F$12,4,FALSE)</f>
        <v>2.9584919214248702</v>
      </c>
      <c r="AL38" s="13">
        <f>VLOOKUP(B38,[34]Sheet1!$C$2:$F$13,4,FALSE)</f>
        <v>18.524959564208999</v>
      </c>
      <c r="AN38" s="2">
        <f>VLOOKUP(B38,[36]Sheet1!$C$2:$F$14,4,FALSE)</f>
        <v>9.7112275660037994E-2</v>
      </c>
      <c r="AQ38" s="2">
        <f>VLOOKUP(B38,[39]Sheet1!$C$2:$F$13,4,FALSE)</f>
        <v>9.6797920763492598E-2</v>
      </c>
      <c r="AU38" s="2">
        <f>VLOOKUP(B38,[42]Sheet1!$C$2:$F$11,4,FALSE)</f>
        <v>1.1353168487548799</v>
      </c>
      <c r="BA38" s="2">
        <f>VLOOKUP(B38,[47]Sheet1!$C$2:$F$12,4,FALSE)</f>
        <v>1.92724245786667</v>
      </c>
      <c r="BD38" s="2">
        <f>VLOOKUP(B38,[50]Sheet1!$C$2:$F$13,4,FALSE)</f>
        <v>2.6574964523315399</v>
      </c>
      <c r="BG38" s="2">
        <v>3.4988507628440899E-2</v>
      </c>
      <c r="BH38" s="2">
        <f>VLOOKUP(B38,[53]Sheet1!$C$2:$F$13,4,FALSE)</f>
        <v>4.3870410919189498</v>
      </c>
      <c r="BL38" s="2">
        <f>VLOOKUP(B38,[63]Sheet1!$C$2:$F$6,4,FALSE)</f>
        <v>2.8306601569056501E-2</v>
      </c>
      <c r="BM38" s="2">
        <f>VLOOKUP(B38,[57]Sheet1!$C$2:$F$11,4,FALSE)</f>
        <v>0.102364860475063</v>
      </c>
      <c r="BO38" s="2">
        <f>VLOOKUP(B38,[59]Sheet1!$C$3:$F$9,4,FALSE)</f>
        <v>4.0624942630529397E-2</v>
      </c>
    </row>
    <row r="39" spans="1:68" ht="16" x14ac:dyDescent="0.35">
      <c r="A39" s="6">
        <v>38</v>
      </c>
      <c r="B39" s="10" t="s">
        <v>105</v>
      </c>
      <c r="C39" s="11">
        <v>106.422813415527</v>
      </c>
      <c r="D39" s="2">
        <f>VLOOKUP(B39,[1]Sheet1!$C$3:$F$14,4,FALSE)</f>
        <v>7.8395463526248904E-2</v>
      </c>
      <c r="E39" s="2">
        <f>VLOOKUP(B39,[2]Sheet1!$C$2:$F$13,4,FALSE)</f>
        <v>0.108618319034576</v>
      </c>
      <c r="F39" s="2">
        <f>VLOOKUP(B39,[3]Sheet1!$C$3:$F$15,4,FALSE)</f>
        <v>0.13272351026535001</v>
      </c>
      <c r="G39" s="2">
        <f>VLOOKUP(B39,[4]Sheet1!$C$3:$F$13,4,FALSE)</f>
        <v>0.226740501821041</v>
      </c>
      <c r="I39" s="2">
        <f>VLOOKUP(B39,[6]Sheet1!$C$2:$F$14,4,FALSE)</f>
        <v>0.12019501626491499</v>
      </c>
      <c r="J39" s="2">
        <f>VLOOKUP(B39,[7]Sheet1!$C$2:$F$15,4,FALSE)</f>
        <v>0.33081954717636097</v>
      </c>
      <c r="K39" s="2">
        <f>VLOOKUP(B39,[8]Sheet1!$C$2:$F$16,4,FALSE)</f>
        <v>0.199082896113396</v>
      </c>
      <c r="L39" s="2">
        <f>VLOOKUP(B39,[9]Sheet1!$C$2:$F$10,4,FALSE)</f>
        <v>0.41128656268119801</v>
      </c>
      <c r="M39" s="2">
        <f>VLOOKUP(B39,[10]Sheet1!$C$2:$F$13,4,FALSE)</f>
        <v>0.33599603176116899</v>
      </c>
      <c r="N39" s="13">
        <f>VLOOKUP(B39,[11]Sheet1!$C$2:$F$12,4,FALSE)</f>
        <v>123.685535430908</v>
      </c>
      <c r="O39" s="2">
        <f>VLOOKUP(B39,[12]Sheet1!$C$2:$F$17,4,FALSE)</f>
        <v>6.1861433982849103</v>
      </c>
      <c r="Q39" s="2">
        <f>VLOOKUP(B39,[14]Sheet1!$C$2:$F$13,4,FALSE)</f>
        <v>1.22387623786926</v>
      </c>
      <c r="R39" s="2">
        <f>VLOOKUP(B39,[15]Sheet1!$C$2:$F$15,4,FALSE)</f>
        <v>161.298263549805</v>
      </c>
      <c r="S39" s="2">
        <f>VLOOKUP(B39,[16]Sheet1!$C$2:$F$15,4,FALSE)</f>
        <v>0.99328815937042203</v>
      </c>
      <c r="T39" s="13">
        <f>VLOOKUP(B39,[17]Sheet1!$C$2:$F$14,4,FALSE)</f>
        <v>58.424434661865199</v>
      </c>
      <c r="U39" s="13">
        <f>VLOOKUP(B39,[18]Sheet1!$C$2:$F$11,4,FALSE)</f>
        <v>4620.64501953125</v>
      </c>
      <c r="V39" s="2">
        <f>VLOOKUP(B39,[19]Sheet1!$C$2:$F$15,4,FALSE)</f>
        <v>6.4539370536804199</v>
      </c>
      <c r="W39" s="2">
        <f>VLOOKUP(B39,[20]Sheet1!$C$2:$F$12,4,FALSE)</f>
        <v>3.2162246704101598</v>
      </c>
      <c r="X39" s="2">
        <f>VLOOKUP(B39,[21]Sheet1!$C$2:$F$12,4,FALSE)</f>
        <v>3.5346632003784202</v>
      </c>
      <c r="Y39" s="2">
        <f>VLOOKUP(B39,[22]Sheet1!$C$2:$F$15,4,FALSE)</f>
        <v>9.0136058628559099E-2</v>
      </c>
      <c r="Z39" s="14">
        <v>0.27626156806945801</v>
      </c>
      <c r="AC39" s="2">
        <f>VLOOKUP(B39,[25]Sheet1!$C$2:$F$15,4,FALSE)</f>
        <v>2.1708409786224401</v>
      </c>
      <c r="AD39" s="2">
        <f>VLOOKUP(B39,[26]Sheet1!$C$2:$F$9,4,FALSE)</f>
        <v>2.7985363006591801</v>
      </c>
      <c r="AE39" s="2">
        <f>VLOOKUP(B39,[27]Sheet1!$C$2:$F$13,4,FALSE)</f>
        <v>0.937391698360443</v>
      </c>
      <c r="AF39" s="2">
        <f>VLOOKUP(B39,[28]Sheet1!$C$2:$F$15,4,FALSE)</f>
        <v>0.45748281478881803</v>
      </c>
      <c r="AG39" s="2">
        <f>VLOOKUP(B39,[29]Sheet1!$C$2:$F$12,4,FALSE)</f>
        <v>0.412569880485535</v>
      </c>
      <c r="AH39" s="2">
        <f>VLOOKUP(B39,[30]Sheet1!$C$2:$F$12,4,FALSE)</f>
        <v>0.540691658854485</v>
      </c>
      <c r="AI39" s="2">
        <f>VLOOKUP(B39,[31]Sheet1!$C$2:$F$12,4,FALSE)</f>
        <v>1.4887257218360901</v>
      </c>
      <c r="AJ39" s="2">
        <f>VLOOKUP(B39,[32]Sheet1!$C$2:$F$11,4,FALSE)</f>
        <v>0.19409197568893399</v>
      </c>
      <c r="AK39" s="2">
        <f>VLOOKUP(B39,[33]Sheet1!$C$2:$F$12,4,FALSE)</f>
        <v>0.33113037794828398</v>
      </c>
      <c r="AL39" s="13">
        <f>VLOOKUP(B39,[34]Sheet1!$C$2:$F$13,4,FALSE)</f>
        <v>132.95786285400399</v>
      </c>
      <c r="AM39" s="2">
        <f>VLOOKUP(B39,[35]Sheet1!$C$2:$F$11,4,FALSE)</f>
        <v>0.32236224412918102</v>
      </c>
      <c r="AN39" s="2">
        <f>VLOOKUP(B39,[36]Sheet1!$C$2:$F$14,4,FALSE)</f>
        <v>0.22581183165311799</v>
      </c>
      <c r="AO39" s="2">
        <f>VLOOKUP(B39,[37]Sheet1!$C$2:$F$10,4,FALSE)</f>
        <v>0.21835508942604101</v>
      </c>
      <c r="AP39" s="2">
        <f>VLOOKUP(B39,[38]Sheet1!$C$2:$F$9,4,FALSE)</f>
        <v>0.25575217604637102</v>
      </c>
      <c r="AQ39" s="2">
        <f>VLOOKUP(B39,[39]Sheet1!$C$2:$F$13,4,FALSE)</f>
        <v>1.5406237840652499</v>
      </c>
      <c r="AR39" s="2">
        <f>VLOOKUP(B39,[40]Sheet1!$C$2:$F$12,4,FALSE)</f>
        <v>0.33171382546424899</v>
      </c>
      <c r="AS39" s="2">
        <f>VLOOKUP(B39,[61]Sheet1!$C$2:$F$12,4,FALSE)</f>
        <v>0.45027683675289198</v>
      </c>
      <c r="AT39" s="2">
        <f>VLOOKUP(B39,[41]Sheet1!$C$2:$F$14,4,FALSE)</f>
        <v>0.74253678321838401</v>
      </c>
      <c r="AV39" s="2">
        <f>VLOOKUP(B39,[43]Sheet1!$C$2:$F$17,4,FALSE)</f>
        <v>1.28234422206879</v>
      </c>
      <c r="AW39" s="2">
        <f>VLOOKUP(B39,[44]Sheet1!$C$2:$F$11,4,FALSE)</f>
        <v>1.38290786743164</v>
      </c>
      <c r="AX39" s="2">
        <f>VLOOKUP(B39,[45]Sheet1!$C$2:$F$10,4,FALSE)</f>
        <v>1.1275445222854601</v>
      </c>
      <c r="AY39" s="2">
        <f>VLOOKUP(B39,[62]Sheet1!$C$2:$F$12,4,FALSE)</f>
        <v>1.6789255142211901</v>
      </c>
      <c r="AZ39" s="2">
        <f>VLOOKUP(B39,[46]Sheet1!$C$2:$F$12,4,FALSE)</f>
        <v>1.66795089840889</v>
      </c>
      <c r="BB39" s="2">
        <f>VLOOKUP(B39,[48]Sheet1!$C$2:$F$16,4,FALSE)</f>
        <v>0.24433799088001301</v>
      </c>
      <c r="BC39" s="2">
        <f>VLOOKUP(B39,[49]Sheet1!$C$2:$F$12,4,FALSE)</f>
        <v>0.35347387194633501</v>
      </c>
      <c r="BD39" s="2">
        <f>VLOOKUP(B39,[50]Sheet1!$C$2:$F$13,4,FALSE)</f>
        <v>0.37111517786979697</v>
      </c>
      <c r="BF39" s="2">
        <f>VLOOKUP(B39,[52]Sheet1!$C$2:$F$13,4,FALSE)</f>
        <v>0.109116390347481</v>
      </c>
      <c r="BG39" s="2">
        <v>0.33198033273220101</v>
      </c>
      <c r="BH39" s="2">
        <f>VLOOKUP(B39,[53]Sheet1!$C$2:$F$13,4,FALSE)</f>
        <v>0.12636534869670901</v>
      </c>
      <c r="BJ39" s="2">
        <f>VLOOKUP(B39,[55]Sheet1!$C$2:$F$12,4,FALSE)</f>
        <v>14.951739311218301</v>
      </c>
      <c r="BM39" s="2">
        <f>VLOOKUP(B39,[57]Sheet1!$C$2:$F$11,4,FALSE)</f>
        <v>0.183316200971603</v>
      </c>
    </row>
    <row r="40" spans="1:68" ht="16" x14ac:dyDescent="0.35">
      <c r="A40" s="6">
        <v>39</v>
      </c>
      <c r="B40" s="10" t="s">
        <v>106</v>
      </c>
      <c r="C40" s="11">
        <v>3.0211920738220202</v>
      </c>
      <c r="D40" s="2">
        <f>VLOOKUP(B40,[1]Sheet1!$C$3:$F$14,4,FALSE)</f>
        <v>1.8601261377334599</v>
      </c>
      <c r="E40" s="2">
        <f>VLOOKUP(B40,[2]Sheet1!$C$2:$F$13,4,FALSE)</f>
        <v>1.2276682853698699</v>
      </c>
      <c r="I40" s="2">
        <f>VLOOKUP(B40,[6]Sheet1!$C$2:$F$14,4,FALSE)</f>
        <v>0.86848634481430098</v>
      </c>
      <c r="N40" s="13"/>
      <c r="O40" s="2">
        <f>VLOOKUP(B40,[12]Sheet1!$C$2:$F$17,4,FALSE)</f>
        <v>1.32128942012787</v>
      </c>
      <c r="S40" s="2">
        <f>VLOOKUP(B40,[16]Sheet1!$C$2:$F$15,4,FALSE)</f>
        <v>0.92211794853210405</v>
      </c>
      <c r="T40" s="13"/>
      <c r="U40" s="13"/>
      <c r="V40" s="2">
        <f>VLOOKUP(B40,[19]Sheet1!$C$2:$F$15,4,FALSE)</f>
        <v>1.84805488586426</v>
      </c>
      <c r="W40" s="2">
        <f>VLOOKUP(B40,[20]Sheet1!$C$2:$F$12,4,FALSE)</f>
        <v>0.86204427480697599</v>
      </c>
      <c r="Y40" s="2">
        <f>VLOOKUP(B40,[22]Sheet1!$C$2:$F$15,4,FALSE)</f>
        <v>0.62921619415283203</v>
      </c>
      <c r="Z40" s="14"/>
      <c r="AA40" s="2">
        <f>VLOOKUP(B40,[23]Sheet1!$C$2:$F$13,4,FALSE)</f>
        <v>0.61506998538970903</v>
      </c>
      <c r="AB40" s="2">
        <f>VLOOKUP(B40,[24]Sheet1!$C$2:$F$12,4,FALSE)</f>
        <v>1.2577805519103999</v>
      </c>
      <c r="AC40" s="2">
        <f>VLOOKUP(B40,[25]Sheet1!$C$2:$F$15,4,FALSE)</f>
        <v>1.30546998977661</v>
      </c>
      <c r="AD40" s="2">
        <f>VLOOKUP(B40,[26]Sheet1!$C$2:$F$9,4,FALSE)</f>
        <v>0.69901448488235496</v>
      </c>
      <c r="AL40" s="13"/>
      <c r="AN40" s="2">
        <f>VLOOKUP(B40,[36]Sheet1!$C$2:$F$14,4,FALSE)</f>
        <v>0.69553035497665405</v>
      </c>
      <c r="AT40" s="2">
        <f>VLOOKUP(B40,[41]Sheet1!$C$2:$F$14,4,FALSE)</f>
        <v>0.64111131429672197</v>
      </c>
      <c r="BB40" s="2">
        <f>VLOOKUP(B40,[48]Sheet1!$C$2:$F$16,4,FALSE)</f>
        <v>0.75383335351944003</v>
      </c>
      <c r="BC40" s="2">
        <f>VLOOKUP(B40,[49]Sheet1!$C$2:$F$12,4,FALSE)</f>
        <v>0.77632421255111705</v>
      </c>
      <c r="BE40" s="2">
        <f>VLOOKUP(B40,[51]Sheet1!$C$2:$F$10,4,FALSE)</f>
        <v>0.57102620601654097</v>
      </c>
      <c r="BH40" s="2">
        <f>VLOOKUP(B40,[53]Sheet1!$C$2:$F$13,4,FALSE)</f>
        <v>1.70913130044937</v>
      </c>
      <c r="BK40" s="2">
        <f>VLOOKUP(B40,[56]Sheet1!$C$2:$F$7,4,FALSE)</f>
        <v>3.8582084178924601</v>
      </c>
    </row>
    <row r="41" spans="1:68" ht="16" x14ac:dyDescent="0.35">
      <c r="A41" s="6">
        <v>40</v>
      </c>
      <c r="B41" s="10" t="s">
        <v>107</v>
      </c>
      <c r="C41" s="11">
        <v>50.3821411132813</v>
      </c>
      <c r="D41" s="2">
        <f>VLOOKUP(B41,[1]Sheet1!$C$3:$F$14,4,FALSE)</f>
        <v>3.8916276693344098</v>
      </c>
      <c r="E41" s="2">
        <f>VLOOKUP(B41,[2]Sheet1!$C$2:$F$13,4,FALSE)</f>
        <v>2.1021573543548602</v>
      </c>
      <c r="F41" s="2">
        <f>VLOOKUP(B41,[3]Sheet1!$C$3:$F$15,4,FALSE)</f>
        <v>1.3748208284378101</v>
      </c>
      <c r="G41" s="2">
        <f>VLOOKUP(B41,[4]Sheet1!$C$3:$F$13,4,FALSE)</f>
        <v>2.9218707084655802</v>
      </c>
      <c r="H41" s="2">
        <f>VLOOKUP(B41,[5]Sheet1!$C$2:$F$12,4,FALSE)</f>
        <v>1.04674232006073</v>
      </c>
      <c r="J41" s="2">
        <f>VLOOKUP(B41,[7]Sheet1!$C$2:$F$15,4,FALSE)</f>
        <v>4.2273045778274501</v>
      </c>
      <c r="K41" s="2">
        <f>VLOOKUP(B41,[8]Sheet1!$C$2:$F$16,4,FALSE)</f>
        <v>4.9687594175338701</v>
      </c>
      <c r="L41" s="2">
        <f>VLOOKUP(B41,[9]Sheet1!$C$2:$F$10,4,FALSE)</f>
        <v>3.0249513387680098</v>
      </c>
      <c r="M41" s="2">
        <f>VLOOKUP(B41,[10]Sheet1!$C$2:$F$13,4,FALSE)</f>
        <v>17.045314788818398</v>
      </c>
      <c r="N41" s="13">
        <f>VLOOKUP(B41,[11]Sheet1!$C$2:$F$12,4,FALSE)</f>
        <v>4574.1995849609402</v>
      </c>
      <c r="O41" s="2">
        <f>VLOOKUP(B41,[12]Sheet1!$C$2:$F$17,4,FALSE)</f>
        <v>1.1762825250625599</v>
      </c>
      <c r="P41" s="2">
        <f>VLOOKUP(B41,[13]Sheet1!$C$2:$F$11,4,FALSE)</f>
        <v>0.68860477209091198</v>
      </c>
      <c r="Q41" s="2">
        <f>VLOOKUP(B41,[14]Sheet1!$C$2:$F$13,4,FALSE)</f>
        <v>17.246381759643601</v>
      </c>
      <c r="R41" s="2">
        <f>VLOOKUP(B41,[15]Sheet1!$C$2:$F$15,4,FALSE)</f>
        <v>12400.8369140625</v>
      </c>
      <c r="S41" s="2">
        <f>VLOOKUP(B41,[16]Sheet1!$C$2:$F$15,4,FALSE)</f>
        <v>13.0855760574341</v>
      </c>
      <c r="T41" s="13">
        <f>VLOOKUP(B41,[17]Sheet1!$C$2:$F$14,4,FALSE)</f>
        <v>856.140625</v>
      </c>
      <c r="U41" s="13">
        <f>VLOOKUP(B41,[18]Sheet1!$C$2:$F$11,4,FALSE)</f>
        <v>866.35293579101597</v>
      </c>
      <c r="V41" s="2">
        <f>VLOOKUP(B41,[19]Sheet1!$C$2:$F$15,4,FALSE)</f>
        <v>2.3583683967590301</v>
      </c>
      <c r="X41" s="2">
        <f>VLOOKUP(B41,[21]Sheet1!$C$2:$F$12,4,FALSE)</f>
        <v>1.04432201385498</v>
      </c>
      <c r="Y41" s="2">
        <f>VLOOKUP(B41,[22]Sheet1!$C$2:$F$15,4,FALSE)</f>
        <v>0.60391122102737405</v>
      </c>
      <c r="Z41" s="14"/>
      <c r="AA41" s="2">
        <f>VLOOKUP(B41,[23]Sheet1!$C$2:$F$13,4,FALSE)</f>
        <v>7.7050838470459002</v>
      </c>
      <c r="AE41" s="2">
        <f>VLOOKUP(B41,[27]Sheet1!$C$2:$F$13,4,FALSE)</f>
        <v>61.303829193115199</v>
      </c>
      <c r="AF41" s="2">
        <f>VLOOKUP(B41,[28]Sheet1!$C$2:$F$15,4,FALSE)</f>
        <v>62.492668151855497</v>
      </c>
      <c r="AG41" s="2">
        <f>VLOOKUP(B41,[29]Sheet1!$C$2:$F$12,4,FALSE)</f>
        <v>6.2543311119079599</v>
      </c>
      <c r="AH41" s="2">
        <f>VLOOKUP(B41,[30]Sheet1!$C$2:$F$12,4,FALSE)</f>
        <v>5.6096920967102104</v>
      </c>
      <c r="AI41" s="2">
        <f>VLOOKUP(B41,[31]Sheet1!$C$2:$F$12,4,FALSE)</f>
        <v>3.6422547101974501</v>
      </c>
      <c r="AJ41" s="2">
        <f>VLOOKUP(B41,[32]Sheet1!$C$2:$F$11,4,FALSE)</f>
        <v>5.5517590045928999</v>
      </c>
      <c r="AK41" s="2">
        <f>VLOOKUP(B41,[33]Sheet1!$C$2:$F$12,4,FALSE)</f>
        <v>4.8615460395812997</v>
      </c>
      <c r="AL41" s="13">
        <f>VLOOKUP(B41,[34]Sheet1!$C$2:$F$13,4,FALSE)</f>
        <v>8361.6640625</v>
      </c>
      <c r="AM41" s="2">
        <f>VLOOKUP(B41,[35]Sheet1!$C$2:$F$11,4,FALSE)</f>
        <v>3.34824442863464</v>
      </c>
      <c r="AN41" s="2">
        <f>VLOOKUP(B41,[36]Sheet1!$C$2:$F$14,4,FALSE)</f>
        <v>2.5617015361785902</v>
      </c>
      <c r="AO41" s="2">
        <f>VLOOKUP(B41,[37]Sheet1!$C$2:$F$10,4,FALSE)</f>
        <v>3.5035343170165998</v>
      </c>
      <c r="AP41" s="2">
        <f>VLOOKUP(B41,[38]Sheet1!$C$2:$F$9,4,FALSE)</f>
        <v>9.9441173076629603</v>
      </c>
      <c r="AQ41" s="2">
        <f>VLOOKUP(B41,[39]Sheet1!$C$2:$F$13,4,FALSE)</f>
        <v>2.90727722644806</v>
      </c>
      <c r="AR41" s="2">
        <f>VLOOKUP(B41,[40]Sheet1!$C$2:$F$12,4,FALSE)</f>
        <v>38.044952392578097</v>
      </c>
      <c r="AS41" s="2">
        <f>VLOOKUP(B41,[61]Sheet1!$C$2:$F$12,4,FALSE)</f>
        <v>20.550916671752901</v>
      </c>
      <c r="AT41" s="2">
        <f>VLOOKUP(B41,[41]Sheet1!$C$2:$F$14,4,FALSE)</f>
        <v>0.80248653888702404</v>
      </c>
      <c r="AU41" s="2">
        <f>VLOOKUP(B41,[42]Sheet1!$C$2:$F$11,4,FALSE)</f>
        <v>0.78602111339569103</v>
      </c>
      <c r="AV41" s="2">
        <f>VLOOKUP(B41,[43]Sheet1!$C$2:$F$17,4,FALSE)</f>
        <v>2.7499730587005602</v>
      </c>
      <c r="AW41" s="2">
        <f>VLOOKUP(B41,[44]Sheet1!$C$2:$F$11,4,FALSE)</f>
        <v>15.0224456787109</v>
      </c>
      <c r="AX41" s="2">
        <f>VLOOKUP(B41,[45]Sheet1!$C$2:$F$10,4,FALSE)</f>
        <v>3.5072319507598899</v>
      </c>
      <c r="AY41" s="2">
        <f>VLOOKUP(B41,[62]Sheet1!$C$2:$F$12,4,FALSE)</f>
        <v>6.6656048297882098</v>
      </c>
      <c r="AZ41" s="2">
        <f>VLOOKUP(B41,[46]Sheet1!$C$2:$F$12,4,FALSE)</f>
        <v>8.1191475391387904</v>
      </c>
      <c r="BB41" s="2">
        <f>VLOOKUP(B41,[48]Sheet1!$C$2:$F$16,4,FALSE)</f>
        <v>1.56066626310349</v>
      </c>
      <c r="BC41" s="2">
        <f>VLOOKUP(B41,[49]Sheet1!$C$2:$F$12,4,FALSE)</f>
        <v>0.53549146652221702</v>
      </c>
      <c r="BD41" s="2">
        <f>VLOOKUP(B41,[50]Sheet1!$C$2:$F$13,4,FALSE)</f>
        <v>2.0789894461631802</v>
      </c>
      <c r="BE41" s="2">
        <f>VLOOKUP(B41,[51]Sheet1!$C$2:$F$10,4,FALSE)</f>
        <v>0.87809628248214699</v>
      </c>
      <c r="BG41" s="2">
        <v>1.33130395412445</v>
      </c>
      <c r="BH41" s="2">
        <f>VLOOKUP(B41,[53]Sheet1!$C$2:$F$13,4,FALSE)</f>
        <v>0.97015324234962497</v>
      </c>
      <c r="BJ41" s="2">
        <f>VLOOKUP(B41,[55]Sheet1!$C$2:$F$12,4,FALSE)</f>
        <v>240.308349609375</v>
      </c>
      <c r="BK41" s="2">
        <f>VLOOKUP(B41,[56]Sheet1!$C$2:$F$7,4,FALSE)</f>
        <v>1.5271342396736101</v>
      </c>
      <c r="BM41" s="2">
        <f>VLOOKUP(B41,[57]Sheet1!$C$2:$F$11,4,FALSE)</f>
        <v>0.56116330623626698</v>
      </c>
    </row>
    <row r="42" spans="1:68" ht="16" x14ac:dyDescent="0.35">
      <c r="A42" s="6">
        <v>41</v>
      </c>
      <c r="B42" s="10" t="s">
        <v>108</v>
      </c>
      <c r="C42" s="13"/>
      <c r="D42" s="2">
        <f>VLOOKUP(B42,[1]Sheet1!$C$3:$F$14,4,FALSE)</f>
        <v>4.6637296676635698</v>
      </c>
      <c r="F42" s="2">
        <f>VLOOKUP(B42,[3]Sheet1!$C$3:$F$15,4,FALSE)</f>
        <v>1.1744202375412001</v>
      </c>
      <c r="G42" s="2">
        <f>VLOOKUP(B42,[4]Sheet1!$C$3:$F$13,4,FALSE)</f>
        <v>9.4148113727569598</v>
      </c>
      <c r="H42" s="2">
        <f>VLOOKUP(B42,[5]Sheet1!$C$2:$F$12,4,FALSE)</f>
        <v>8.92742919921875</v>
      </c>
      <c r="I42" s="2">
        <f>VLOOKUP(B42,[6]Sheet1!$C$2:$F$14,4,FALSE)</f>
        <v>0.99745237827301003</v>
      </c>
      <c r="J42" s="2">
        <f>VLOOKUP(B42,[7]Sheet1!$C$2:$F$15,4,FALSE)</f>
        <v>13.836833953857401</v>
      </c>
      <c r="K42" s="2">
        <f>VLOOKUP(B42,[8]Sheet1!$C$2:$F$16,4,FALSE)</f>
        <v>8.9990720748901403</v>
      </c>
      <c r="L42" s="2">
        <f>VLOOKUP(B42,[9]Sheet1!$C$2:$F$10,4,FALSE)</f>
        <v>8.6763896942138707</v>
      </c>
      <c r="M42" s="2">
        <f>VLOOKUP(B42,[10]Sheet1!$C$2:$F$13,4,FALSE)</f>
        <v>8.2196540832519496</v>
      </c>
      <c r="N42" s="13">
        <f>VLOOKUP(B42,[11]Sheet1!$C$2:$F$12,4,FALSE)</f>
        <v>4197.40087890625</v>
      </c>
      <c r="O42" s="2">
        <f>VLOOKUP(B42,[12]Sheet1!$C$2:$F$17,4,FALSE)</f>
        <v>2.7164266705513</v>
      </c>
      <c r="S42" s="2">
        <f>VLOOKUP(B42,[16]Sheet1!$C$2:$F$15,4,FALSE)</f>
        <v>1.6142816543579099</v>
      </c>
      <c r="T42" s="13">
        <f>VLOOKUP(B42,[17]Sheet1!$C$2:$F$14,4,FALSE)</f>
        <v>129.58026123046901</v>
      </c>
      <c r="U42" s="13"/>
      <c r="Y42" s="2">
        <f>VLOOKUP(B42,[22]Sheet1!$C$2:$F$15,4,FALSE)</f>
        <v>6.6885023117065403</v>
      </c>
      <c r="Z42" s="14">
        <v>1.1021213531494101</v>
      </c>
      <c r="AA42" s="2">
        <f>VLOOKUP(B42,[23]Sheet1!$C$2:$F$13,4,FALSE)</f>
        <v>1.9587311744689899</v>
      </c>
      <c r="AB42" s="2">
        <f>VLOOKUP(B42,[24]Sheet1!$C$2:$F$12,4,FALSE)</f>
        <v>1.0840140581130999</v>
      </c>
      <c r="AC42" s="2">
        <f>VLOOKUP(B42,[25]Sheet1!$C$2:$F$15,4,FALSE)</f>
        <v>0.99805742502212502</v>
      </c>
      <c r="AE42" s="2">
        <f>VLOOKUP(B42,[27]Sheet1!$C$2:$F$13,4,FALSE)</f>
        <v>7.7532210350036603</v>
      </c>
      <c r="AF42" s="2">
        <f>VLOOKUP(B42,[28]Sheet1!$C$2:$F$15,4,FALSE)</f>
        <v>5.21046710014343</v>
      </c>
      <c r="AG42" s="2">
        <f>VLOOKUP(B42,[29]Sheet1!$C$2:$F$12,4,FALSE)</f>
        <v>1.6682002544403101</v>
      </c>
      <c r="AH42" s="2">
        <f>VLOOKUP(B42,[30]Sheet1!$C$2:$F$12,4,FALSE)</f>
        <v>9.6665799617767298</v>
      </c>
      <c r="AI42" s="2">
        <f>VLOOKUP(B42,[31]Sheet1!$C$2:$F$12,4,FALSE)</f>
        <v>6.2068185806274396</v>
      </c>
      <c r="AJ42" s="2">
        <f>VLOOKUP(B42,[32]Sheet1!$C$2:$F$11,4,FALSE)</f>
        <v>18.840699672698999</v>
      </c>
      <c r="AK42" s="2">
        <f>VLOOKUP(B42,[33]Sheet1!$C$2:$F$12,4,FALSE)</f>
        <v>5.1096768379211399</v>
      </c>
      <c r="AL42" s="13">
        <f>VLOOKUP(B42,[34]Sheet1!$C$2:$F$13,4,FALSE)</f>
        <v>369.95379638671898</v>
      </c>
      <c r="AM42" s="2">
        <f>VLOOKUP(B42,[35]Sheet1!$C$2:$F$11,4,FALSE)</f>
        <v>4.92899465560913</v>
      </c>
      <c r="AN42" s="2">
        <f>VLOOKUP(B42,[36]Sheet1!$C$2:$F$14,4,FALSE)</f>
        <v>7.6475400924682599</v>
      </c>
      <c r="AO42" s="2">
        <f>VLOOKUP(B42,[37]Sheet1!$C$2:$F$10,4,FALSE)</f>
        <v>5.4298355579376203</v>
      </c>
      <c r="AP42" s="2">
        <f>VLOOKUP(B42,[38]Sheet1!$C$2:$F$9,4,FALSE)</f>
        <v>8.1000306606292707</v>
      </c>
      <c r="AQ42" s="2">
        <f>VLOOKUP(B42,[39]Sheet1!$C$2:$F$13,4,FALSE)</f>
        <v>7.1062985658645603</v>
      </c>
      <c r="AR42" s="2">
        <f>VLOOKUP(B42,[40]Sheet1!$C$2:$F$12,4,FALSE)</f>
        <v>13.8457162380219</v>
      </c>
      <c r="AS42" s="2">
        <f>VLOOKUP(B42,[61]Sheet1!$C$2:$F$12,4,FALSE)</f>
        <v>9.2098817825317401</v>
      </c>
      <c r="AT42" s="2">
        <f>VLOOKUP(B42,[41]Sheet1!$C$2:$F$14,4,FALSE)</f>
        <v>0.90226167440414395</v>
      </c>
      <c r="AU42" s="2">
        <f>VLOOKUP(B42,[42]Sheet1!$C$2:$F$11,4,FALSE)</f>
        <v>4.4068675041198704</v>
      </c>
      <c r="AV42" s="2">
        <f>VLOOKUP(B42,[43]Sheet1!$C$2:$F$17,4,FALSE)</f>
        <v>3.9887341260909999</v>
      </c>
      <c r="AW42" s="2">
        <f>VLOOKUP(B42,[44]Sheet1!$C$2:$F$11,4,FALSE)</f>
        <v>27.787559509277301</v>
      </c>
      <c r="AX42" s="2">
        <f>VLOOKUP(B42,[45]Sheet1!$C$2:$F$10,4,FALSE)</f>
        <v>8.5163125991821307</v>
      </c>
      <c r="AY42" s="2">
        <f>VLOOKUP(B42,[62]Sheet1!$C$2:$F$12,4,FALSE)</f>
        <v>13.642230033874499</v>
      </c>
      <c r="AZ42" s="2">
        <f>VLOOKUP(B42,[46]Sheet1!$C$2:$F$12,4,FALSE)</f>
        <v>3.9526431560516402</v>
      </c>
      <c r="BB42" s="2">
        <f>VLOOKUP(B42,[48]Sheet1!$C$2:$F$16,4,FALSE)</f>
        <v>4.6755967140197798</v>
      </c>
      <c r="BC42" s="2">
        <f>VLOOKUP(B42,[49]Sheet1!$C$2:$F$12,4,FALSE)</f>
        <v>3.4706443548202501</v>
      </c>
      <c r="BG42" s="2">
        <v>2.6757156848907502</v>
      </c>
      <c r="BH42" s="2">
        <f>VLOOKUP(B42,[53]Sheet1!$C$2:$F$13,4,FALSE)</f>
        <v>4.3155772686004603</v>
      </c>
      <c r="BI42" s="2">
        <f>VLOOKUP(B42,[54]Sheet1!$C$2:$F$8,4,FALSE)</f>
        <v>3.11142814159393</v>
      </c>
      <c r="BJ42" s="2">
        <f>VLOOKUP(B42,[55]Sheet1!$C$2:$F$12,4,FALSE)</f>
        <v>224.95396423339801</v>
      </c>
      <c r="BK42" s="2">
        <f>VLOOKUP(B42,[56]Sheet1!$C$2:$F$7,4,FALSE)</f>
        <v>1.8938890695571899</v>
      </c>
      <c r="BM42" s="2">
        <f>VLOOKUP(B42,[57]Sheet1!$C$2:$F$11,4,FALSE)</f>
        <v>0.79090261459350597</v>
      </c>
      <c r="BO42" s="2">
        <f>VLOOKUP(B42,[59]Sheet1!$C$3:$F$9,4,FALSE)</f>
        <v>0.81077903509140004</v>
      </c>
    </row>
    <row r="43" spans="1:68" ht="16" x14ac:dyDescent="0.35">
      <c r="A43" s="6">
        <v>42</v>
      </c>
      <c r="B43" s="12" t="s">
        <v>109</v>
      </c>
      <c r="C43" s="13"/>
      <c r="D43" s="2">
        <f>VLOOKUP(B43,[1]Sheet1!$C$3:$F$14,4,FALSE)</f>
        <v>0.131853558123112</v>
      </c>
      <c r="E43" s="2">
        <f>VLOOKUP(B43,[2]Sheet1!$C$2:$F$13,4,FALSE)</f>
        <v>4.2534403502941097E-2</v>
      </c>
      <c r="G43" s="2">
        <f>VLOOKUP(B43,[4]Sheet1!$C$3:$F$13,4,FALSE)</f>
        <v>0.16720825806260101</v>
      </c>
      <c r="J43" s="2">
        <f>VLOOKUP(B43,[7]Sheet1!$C$2:$F$15,4,FALSE)</f>
        <v>7.8627189621329294E-2</v>
      </c>
      <c r="N43" s="13"/>
      <c r="O43" s="2">
        <f>VLOOKUP(B43,[12]Sheet1!$C$2:$F$17,4,FALSE)</f>
        <v>0.99324297904968295</v>
      </c>
      <c r="P43" s="2">
        <f>VLOOKUP(B43,[13]Sheet1!$C$2:$F$11,4,FALSE)</f>
        <v>3.8838695734739297E-2</v>
      </c>
      <c r="Q43" s="2">
        <f>VLOOKUP(B43,[14]Sheet1!$C$2:$F$13,4,FALSE)</f>
        <v>0.25586161017417902</v>
      </c>
      <c r="R43" s="2">
        <f>VLOOKUP(B43,[15]Sheet1!$C$2:$F$15,4,FALSE)</f>
        <v>118.297203063965</v>
      </c>
      <c r="T43" s="13">
        <f>VLOOKUP(B43,[17]Sheet1!$C$2:$F$14,4,FALSE)</f>
        <v>8.9727296829223597</v>
      </c>
      <c r="U43" s="13">
        <f>VLOOKUP(B43,[18]Sheet1!$C$2:$F$11,4,FALSE)</f>
        <v>70.879295349121094</v>
      </c>
      <c r="V43" s="2">
        <f>VLOOKUP(B43,[19]Sheet1!$C$2:$F$15,4,FALSE)</f>
        <v>0.15597988665103901</v>
      </c>
      <c r="W43" s="2">
        <f>VLOOKUP(B43,[20]Sheet1!$C$2:$F$12,4,FALSE)</f>
        <v>0.24300207197666199</v>
      </c>
      <c r="X43" s="2">
        <f>VLOOKUP(B43,[21]Sheet1!$C$2:$F$12,4,FALSE)</f>
        <v>0.324790500104427</v>
      </c>
      <c r="Y43" s="2">
        <f>VLOOKUP(B43,[22]Sheet1!$C$2:$F$15,4,FALSE)</f>
        <v>8.4652572870254503E-2</v>
      </c>
      <c r="Z43" s="14">
        <v>0.19160072505474099</v>
      </c>
      <c r="AA43" s="2">
        <f>VLOOKUP(B43,[23]Sheet1!$C$2:$F$13,4,FALSE)</f>
        <v>0.14287400245666501</v>
      </c>
      <c r="AB43" s="2">
        <f>VLOOKUP(B43,[24]Sheet1!$C$2:$F$12,4,FALSE)</f>
        <v>0.334687359631062</v>
      </c>
      <c r="AC43" s="2">
        <f>VLOOKUP(B43,[25]Sheet1!$C$2:$F$15,4,FALSE)</f>
        <v>0.54448549449443795</v>
      </c>
      <c r="AD43" s="2">
        <f>VLOOKUP(B43,[26]Sheet1!$C$2:$F$9,4,FALSE)</f>
        <v>4.8604533076286302E-2</v>
      </c>
      <c r="AE43" s="2">
        <f>VLOOKUP(B43,[27]Sheet1!$C$2:$F$13,4,FALSE)</f>
        <v>0.12980005145072901</v>
      </c>
      <c r="AF43" s="2">
        <f>VLOOKUP(B43,[28]Sheet1!$C$2:$F$15,4,FALSE)</f>
        <v>7.9684205353259999E-2</v>
      </c>
      <c r="AI43" s="2">
        <f>VLOOKUP(B43,[31]Sheet1!$C$2:$F$12,4,FALSE)</f>
        <v>0.33340489864349399</v>
      </c>
      <c r="AL43" s="13">
        <f>VLOOKUP(B43,[34]Sheet1!$C$2:$F$13,4,FALSE)</f>
        <v>47.972236633300803</v>
      </c>
      <c r="AM43" s="2">
        <f>VLOOKUP(B43,[35]Sheet1!$C$2:$F$11,4,FALSE)</f>
        <v>0.133357673883438</v>
      </c>
      <c r="AN43" s="2">
        <f>VLOOKUP(B43,[36]Sheet1!$C$2:$F$14,4,FALSE)</f>
        <v>6.3308866694569602E-2</v>
      </c>
      <c r="AS43" s="2">
        <f>VLOOKUP(B43,[61]Sheet1!$C$2:$F$12,4,FALSE)</f>
        <v>6.7034520208835602E-2</v>
      </c>
      <c r="AT43" s="2">
        <f>VLOOKUP(B43,[41]Sheet1!$C$2:$F$14,4,FALSE)</f>
        <v>0.76637400686740897</v>
      </c>
      <c r="AU43" s="2">
        <f>VLOOKUP(B43,[42]Sheet1!$C$2:$F$11,4,FALSE)</f>
        <v>0.16728317737579301</v>
      </c>
      <c r="AV43" s="2">
        <f>VLOOKUP(B43,[43]Sheet1!$C$2:$F$17,4,FALSE)</f>
        <v>0.65062057971954301</v>
      </c>
      <c r="BA43" s="2">
        <f>VLOOKUP(B43,[47]Sheet1!$C$2:$F$12,4,FALSE)</f>
        <v>7.4543520808219896E-2</v>
      </c>
      <c r="BB43" s="2">
        <f>VLOOKUP(B43,[48]Sheet1!$C$2:$F$16,4,FALSE)</f>
        <v>0.46425320208072701</v>
      </c>
      <c r="BC43" s="2">
        <f>VLOOKUP(B43,[49]Sheet1!$C$2:$F$12,4,FALSE)</f>
        <v>0.2693907096982</v>
      </c>
      <c r="BD43" s="2">
        <f>VLOOKUP(B43,[50]Sheet1!$C$2:$F$13,4,FALSE)</f>
        <v>0.24844238162040699</v>
      </c>
      <c r="BF43" s="2">
        <f>VLOOKUP(B43,[52]Sheet1!$C$2:$F$13,4,FALSE)</f>
        <v>4.7390576452016803E-2</v>
      </c>
      <c r="BG43" s="2">
        <v>0.16508868336677601</v>
      </c>
      <c r="BH43" s="2">
        <f>VLOOKUP(B43,[53]Sheet1!$C$2:$F$13,4,FALSE)</f>
        <v>0.16025939583778401</v>
      </c>
      <c r="BI43" s="2">
        <f>VLOOKUP(B43,[54]Sheet1!$C$2:$F$8,4,FALSE)</f>
        <v>4.50824052095413E-2</v>
      </c>
      <c r="BJ43" s="2">
        <f>VLOOKUP(B43,[55]Sheet1!$C$2:$F$12,4,FALSE)</f>
        <v>15.8220014572144</v>
      </c>
      <c r="BK43" s="2">
        <f>VLOOKUP(B43,[56]Sheet1!$C$2:$F$7,4,FALSE)</f>
        <v>7.2971478104591397E-2</v>
      </c>
      <c r="BN43" s="2">
        <f>VLOOKUP(B43,[58]Sheet1!$C$2:$F$10,4,FALSE)</f>
        <v>0.25126105546951299</v>
      </c>
    </row>
    <row r="44" spans="1:68" ht="16" x14ac:dyDescent="0.35">
      <c r="A44" s="6">
        <v>43</v>
      </c>
      <c r="B44" s="10" t="s">
        <v>110</v>
      </c>
      <c r="C44" s="13"/>
      <c r="E44" s="2">
        <f>VLOOKUP(B44,[2]Sheet1!$C$2:$F$13,4,FALSE)</f>
        <v>0.19947154819965399</v>
      </c>
      <c r="H44" s="2">
        <f>VLOOKUP(B44,[5]Sheet1!$C$2:$F$12,4,FALSE)</f>
        <v>0.34447148442268399</v>
      </c>
      <c r="I44" s="2">
        <f>VLOOKUP(B44,[6]Sheet1!$C$2:$F$14,4,FALSE)</f>
        <v>0.473458021879196</v>
      </c>
      <c r="J44" s="2">
        <f>VLOOKUP(B44,[7]Sheet1!$C$2:$F$15,4,FALSE)</f>
        <v>0.45005974173545799</v>
      </c>
      <c r="K44" s="2">
        <f>VLOOKUP(B44,[8]Sheet1!$C$2:$F$16,4,FALSE)</f>
        <v>0.40808299183845498</v>
      </c>
      <c r="N44" s="13"/>
      <c r="O44" s="2">
        <f>VLOOKUP(B44,[12]Sheet1!$C$2:$F$17,4,FALSE)</f>
        <v>0.22020539641380299</v>
      </c>
      <c r="Q44" s="2">
        <f>VLOOKUP(B44,[14]Sheet1!$C$2:$F$13,4,FALSE)</f>
        <v>0.169481426477432</v>
      </c>
      <c r="S44" s="2">
        <f>VLOOKUP(B44,[16]Sheet1!$C$2:$F$15,4,FALSE)</f>
        <v>0.17154921591281899</v>
      </c>
      <c r="T44" s="13"/>
      <c r="U44" s="13"/>
      <c r="W44" s="2">
        <f>VLOOKUP(B44,[20]Sheet1!$C$2:$F$12,4,FALSE)</f>
        <v>0.184332355856895</v>
      </c>
      <c r="Y44" s="2">
        <f>VLOOKUP(B44,[22]Sheet1!$C$2:$F$15,4,FALSE)</f>
        <v>0.41159629821777299</v>
      </c>
      <c r="Z44" s="14"/>
      <c r="AC44" s="2">
        <f>VLOOKUP(B44,[25]Sheet1!$C$2:$F$15,4,FALSE)</f>
        <v>0.32061520218849199</v>
      </c>
      <c r="AL44" s="13"/>
      <c r="AO44" s="2">
        <f>VLOOKUP(B44,[37]Sheet1!$C$2:$F$10,4,FALSE)</f>
        <v>0.43680152297019997</v>
      </c>
      <c r="AT44" s="2">
        <f>VLOOKUP(B44,[41]Sheet1!$C$2:$F$14,4,FALSE)</f>
        <v>0.307195454835892</v>
      </c>
      <c r="AV44" s="2">
        <f>VLOOKUP(B44,[43]Sheet1!$C$2:$F$17,4,FALSE)</f>
        <v>0.79974702000618003</v>
      </c>
      <c r="AY44" s="2">
        <f>VLOOKUP(B44,[62]Sheet1!$C$2:$F$12,4,FALSE)</f>
        <v>0.57588386535644498</v>
      </c>
      <c r="BA44" s="2">
        <f>VLOOKUP(B44,[47]Sheet1!$C$2:$F$12,4,FALSE)</f>
        <v>0.28111898899078402</v>
      </c>
      <c r="BB44" s="2">
        <f>VLOOKUP(B44,[48]Sheet1!$C$2:$F$16,4,FALSE)</f>
        <v>0.32350333034992201</v>
      </c>
      <c r="BF44" s="2">
        <f>VLOOKUP(B44,[52]Sheet1!$C$2:$F$13,4,FALSE)</f>
        <v>0.178811505436897</v>
      </c>
      <c r="BG44" s="2">
        <v>0.51668834686279297</v>
      </c>
      <c r="BM44" s="2">
        <f>VLOOKUP(B44,[57]Sheet1!$C$2:$F$11,4,FALSE)</f>
        <v>0.132349118590355</v>
      </c>
      <c r="BO44" s="2">
        <f>VLOOKUP(B44,[59]Sheet1!$C$3:$F$9,4,FALSE)</f>
        <v>0.21786372363567399</v>
      </c>
      <c r="BP44" s="2">
        <f>VLOOKUP(B44,[60]Sheet1!$C$3:$F$7,4,FALSE)</f>
        <v>8.0178089439868899E-2</v>
      </c>
    </row>
    <row r="45" spans="1:68" ht="16" x14ac:dyDescent="0.35">
      <c r="A45" s="6">
        <v>44</v>
      </c>
      <c r="B45" s="10" t="s">
        <v>111</v>
      </c>
      <c r="C45" s="13"/>
      <c r="F45" s="2">
        <f>VLOOKUP(B45,[3]Sheet1!$C$3:$F$15,4,FALSE)</f>
        <v>8.5937671661377006</v>
      </c>
      <c r="K45" s="2">
        <f>VLOOKUP(B45,[8]Sheet1!$C$2:$F$16,4,FALSE)</f>
        <v>18.9133701324463</v>
      </c>
      <c r="N45" s="13"/>
      <c r="T45" s="13">
        <f>VLOOKUP(B45,[17]Sheet1!$C$2:$F$14,4,FALSE)</f>
        <v>5462.95068359375</v>
      </c>
      <c r="U45" s="13"/>
      <c r="V45" s="2">
        <f>VLOOKUP(B45,[19]Sheet1!$C$2:$F$15,4,FALSE)</f>
        <v>24.1040744781494</v>
      </c>
      <c r="Z45" s="14"/>
      <c r="AA45" s="2">
        <f>VLOOKUP(B45,[23]Sheet1!$C$2:$F$13,4,FALSE)</f>
        <v>10.6230173110962</v>
      </c>
      <c r="AL45" s="13"/>
      <c r="AV45" s="2">
        <f>VLOOKUP(B45,[43]Sheet1!$C$2:$F$17,4,FALSE)</f>
        <v>17.288871765136701</v>
      </c>
      <c r="BD45" s="2">
        <f>VLOOKUP(B45,[50]Sheet1!$C$2:$F$13,4,FALSE)</f>
        <v>17.0432243347168</v>
      </c>
      <c r="BF45" s="2">
        <f>VLOOKUP(B45,[52]Sheet1!$C$2:$F$13,4,FALSE)</f>
        <v>11.981991767883301</v>
      </c>
      <c r="BH45" s="2">
        <f>VLOOKUP(B45,[53]Sheet1!$C$2:$F$13,4,FALSE)</f>
        <v>50.257490158081097</v>
      </c>
      <c r="BI45" s="2">
        <f>VLOOKUP(B45,[54]Sheet1!$C$2:$F$8,4,FALSE)</f>
        <v>38.824748992919901</v>
      </c>
      <c r="BN45" s="2">
        <f>VLOOKUP(B45,[58]Sheet1!$C$2:$F$10,4,FALSE)</f>
        <v>27.351638793945298</v>
      </c>
      <c r="BP45" s="2">
        <f>VLOOKUP(B45,[60]Sheet1!$C$3:$F$7,4,FALSE)</f>
        <v>18.72926902771</v>
      </c>
    </row>
    <row r="46" spans="1:68" ht="16" x14ac:dyDescent="0.35">
      <c r="A46" s="6">
        <v>45</v>
      </c>
      <c r="B46" s="10" t="s">
        <v>112</v>
      </c>
      <c r="C46" s="13"/>
      <c r="N46" s="13"/>
      <c r="T46" s="13"/>
      <c r="U46" s="13"/>
      <c r="Z46" s="14"/>
      <c r="AL46" s="13"/>
    </row>
    <row r="47" spans="1:68" ht="16" x14ac:dyDescent="0.35">
      <c r="A47" s="6">
        <v>46</v>
      </c>
      <c r="B47" s="10" t="s">
        <v>113</v>
      </c>
      <c r="C47" s="13"/>
      <c r="N47" s="13"/>
      <c r="T47" s="13"/>
      <c r="U47" s="13"/>
      <c r="Z47" s="14"/>
      <c r="AL47" s="13"/>
    </row>
    <row r="48" spans="1:68" ht="16" x14ac:dyDescent="0.35">
      <c r="A48" s="6">
        <v>47</v>
      </c>
      <c r="B48" s="10" t="s">
        <v>114</v>
      </c>
      <c r="C48" s="13"/>
      <c r="N48" s="13"/>
      <c r="T48" s="13"/>
      <c r="U48" s="13"/>
      <c r="Z48" s="14"/>
      <c r="AL48" s="13"/>
    </row>
    <row r="49" spans="1:68" ht="16" x14ac:dyDescent="0.35">
      <c r="A49" s="6">
        <v>48</v>
      </c>
      <c r="B49" s="10" t="s">
        <v>115</v>
      </c>
      <c r="C49" s="13"/>
      <c r="N49" s="13"/>
      <c r="T49" s="13"/>
      <c r="U49" s="13"/>
      <c r="Z49" s="14"/>
      <c r="AL49" s="13"/>
      <c r="BJ49" s="8">
        <v>15.229518413543699</v>
      </c>
      <c r="BL49" s="2">
        <f>VLOOKUP(B49,[63]Sheet1!$C$2:$F$6,4,FALSE)</f>
        <v>0.91032469272613503</v>
      </c>
    </row>
    <row r="50" spans="1:68" ht="16" x14ac:dyDescent="0.35">
      <c r="A50" s="6">
        <v>49</v>
      </c>
      <c r="B50" s="10" t="s">
        <v>116</v>
      </c>
      <c r="C50" s="13"/>
      <c r="N50" s="13"/>
      <c r="T50" s="13"/>
      <c r="U50" s="13"/>
      <c r="Z50" s="14"/>
      <c r="AL50" s="13"/>
      <c r="BK50" s="8">
        <v>4.3438954353332502</v>
      </c>
      <c r="BL50" s="2">
        <f>VLOOKUP(B50,[63]Sheet1!$C$2:$F$6,4,FALSE)</f>
        <v>24.416374206543001</v>
      </c>
    </row>
    <row r="51" spans="1:68" ht="16" x14ac:dyDescent="0.35">
      <c r="A51" s="6">
        <v>50</v>
      </c>
      <c r="B51" s="10" t="s">
        <v>117</v>
      </c>
      <c r="C51" s="13"/>
      <c r="N51" s="13"/>
      <c r="T51" s="13"/>
      <c r="U51" s="13"/>
      <c r="Z51" s="14"/>
      <c r="AL51" s="13"/>
    </row>
    <row r="52" spans="1:68" x14ac:dyDescent="0.35">
      <c r="D52" s="2">
        <f t="shared" ref="D52:BO52" si="0">SUM(D2:D51)</f>
        <v>745.76493288576614</v>
      </c>
      <c r="E52" s="2">
        <f t="shared" si="0"/>
        <v>568.10737893730436</v>
      </c>
      <c r="F52" s="2">
        <f t="shared" si="0"/>
        <v>500.44788964465272</v>
      </c>
      <c r="G52" s="2">
        <f t="shared" si="0"/>
        <v>711.69277090951891</v>
      </c>
      <c r="H52" s="2">
        <f t="shared" si="0"/>
        <v>508.77454372867936</v>
      </c>
      <c r="I52" s="2">
        <f t="shared" si="0"/>
        <v>664.169492937624</v>
      </c>
      <c r="J52" s="2">
        <f t="shared" si="0"/>
        <v>926.1527186986059</v>
      </c>
      <c r="K52" s="2">
        <f t="shared" si="0"/>
        <v>1484.6560118123898</v>
      </c>
      <c r="L52" s="2">
        <f t="shared" si="0"/>
        <v>730.7297209650277</v>
      </c>
      <c r="M52" s="2">
        <f t="shared" si="0"/>
        <v>878.34273248910927</v>
      </c>
      <c r="O52" s="2">
        <f t="shared" si="0"/>
        <v>852.49176640808548</v>
      </c>
      <c r="P52" s="2">
        <f t="shared" si="0"/>
        <v>675.46968089416566</v>
      </c>
      <c r="Q52" s="2">
        <f t="shared" si="0"/>
        <v>1029.8865391314032</v>
      </c>
      <c r="R52" s="2">
        <f t="shared" si="0"/>
        <v>46081.95449543</v>
      </c>
      <c r="S52" s="2">
        <f t="shared" si="0"/>
        <v>1074.4041703492403</v>
      </c>
      <c r="V52" s="2">
        <f t="shared" si="0"/>
        <v>1053.6263402551415</v>
      </c>
      <c r="W52" s="2">
        <f t="shared" si="0"/>
        <v>840.01506251841795</v>
      </c>
      <c r="X52" s="2">
        <f t="shared" si="0"/>
        <v>922.50009649246988</v>
      </c>
      <c r="Y52" s="2">
        <f t="shared" si="0"/>
        <v>502.42167757451557</v>
      </c>
      <c r="Z52" s="2">
        <f t="shared" si="0"/>
        <v>312.08664850890625</v>
      </c>
      <c r="AA52" s="2">
        <f t="shared" si="0"/>
        <v>329.48504671454441</v>
      </c>
      <c r="AB52" s="2">
        <f t="shared" si="0"/>
        <v>527.80567447096121</v>
      </c>
      <c r="AC52" s="2">
        <f t="shared" si="0"/>
        <v>1071.5576734542849</v>
      </c>
      <c r="AD52" s="2">
        <f t="shared" si="0"/>
        <v>584.4891245365144</v>
      </c>
      <c r="AE52" s="2">
        <f t="shared" si="0"/>
        <v>1599.7594851851466</v>
      </c>
      <c r="AF52" s="2">
        <f t="shared" si="0"/>
        <v>1510.5942411497231</v>
      </c>
      <c r="AG52" s="2">
        <f t="shared" si="0"/>
        <v>1040.5901545584202</v>
      </c>
      <c r="AH52" s="2">
        <f t="shared" si="0"/>
        <v>300.73406772315502</v>
      </c>
      <c r="AI52" s="2">
        <f t="shared" si="0"/>
        <v>823.1423156410458</v>
      </c>
      <c r="AJ52" s="2">
        <f t="shared" si="0"/>
        <v>1327.2186830937862</v>
      </c>
      <c r="AK52" s="2">
        <f t="shared" si="0"/>
        <v>1038.225251190365</v>
      </c>
      <c r="AM52" s="2">
        <f t="shared" si="0"/>
        <v>1789.3315424025061</v>
      </c>
      <c r="AN52" s="2">
        <f t="shared" si="0"/>
        <v>613.43341289646992</v>
      </c>
      <c r="AO52" s="2">
        <f t="shared" si="0"/>
        <v>2442.6402769088759</v>
      </c>
      <c r="AP52" s="2">
        <f t="shared" si="0"/>
        <v>2781.2523314654804</v>
      </c>
      <c r="AQ52" s="2">
        <f t="shared" si="0"/>
        <v>1658.6767003014693</v>
      </c>
      <c r="AR52" s="2">
        <f t="shared" si="0"/>
        <v>1485.4440140426168</v>
      </c>
      <c r="AS52" s="2">
        <f t="shared" si="0"/>
        <v>1148.4770381972203</v>
      </c>
      <c r="AT52" s="2">
        <f t="shared" si="0"/>
        <v>285.48318729549635</v>
      </c>
      <c r="AU52" s="2">
        <f t="shared" si="0"/>
        <v>331.08280967175972</v>
      </c>
      <c r="AV52" s="2">
        <f t="shared" si="0"/>
        <v>1264.5860207527871</v>
      </c>
      <c r="AW52" s="2">
        <f t="shared" si="0"/>
        <v>1442.8821138143544</v>
      </c>
      <c r="AX52" s="2">
        <f t="shared" si="0"/>
        <v>1172.6171568334105</v>
      </c>
      <c r="AY52" s="2">
        <f t="shared" si="0"/>
        <v>1461.7490463554861</v>
      </c>
      <c r="AZ52" s="2">
        <f t="shared" si="0"/>
        <v>1840.1654591858392</v>
      </c>
      <c r="BA52" s="2">
        <f t="shared" si="0"/>
        <v>1061.7623430937533</v>
      </c>
      <c r="BB52" s="2">
        <f t="shared" si="0"/>
        <v>433.01813108474005</v>
      </c>
      <c r="BC52" s="2">
        <f t="shared" si="0"/>
        <v>409.84384519606812</v>
      </c>
      <c r="BD52" s="2">
        <f t="shared" si="0"/>
        <v>406.17236086726172</v>
      </c>
      <c r="BE52" s="2">
        <f t="shared" si="0"/>
        <v>363.8022839725017</v>
      </c>
      <c r="BF52" s="2">
        <f t="shared" si="0"/>
        <v>493.45022065565007</v>
      </c>
      <c r="BG52" s="2">
        <f t="shared" si="0"/>
        <v>1034.6410861313345</v>
      </c>
      <c r="BH52" s="2">
        <f t="shared" si="0"/>
        <v>69.716349460184617</v>
      </c>
      <c r="BI52" s="2">
        <f t="shared" si="0"/>
        <v>50.970080181956263</v>
      </c>
      <c r="BJ52" s="2">
        <f t="shared" si="0"/>
        <v>1424.2636651992802</v>
      </c>
      <c r="BK52" s="2">
        <f t="shared" si="0"/>
        <v>12.363720700144766</v>
      </c>
      <c r="BL52" s="2">
        <f t="shared" si="0"/>
        <v>30.015746830031311</v>
      </c>
      <c r="BM52" s="2">
        <f t="shared" si="0"/>
        <v>11.862851686775679</v>
      </c>
      <c r="BN52" s="2">
        <f t="shared" si="0"/>
        <v>39.275523543357842</v>
      </c>
      <c r="BO52" s="2">
        <f t="shared" si="0"/>
        <v>11.813091304153206</v>
      </c>
      <c r="BP52" s="2">
        <f t="shared" ref="BP52:CJ52" si="1">SUM(BP2:BP51)</f>
        <v>32.712781079113526</v>
      </c>
    </row>
  </sheetData>
  <phoneticPr fontId="8" type="noConversion"/>
  <conditionalFormatting sqref="B30:B50">
    <cfRule type="duplicateValues" dxfId="11" priority="1"/>
  </conditionalFormatting>
  <conditionalFormatting sqref="B42:B43">
    <cfRule type="duplicateValues" dxfId="10" priority="12"/>
  </conditionalFormatting>
  <conditionalFormatting sqref="B44">
    <cfRule type="duplicateValues" dxfId="9" priority="8"/>
    <cfRule type="duplicateValues" dxfId="8" priority="9"/>
    <cfRule type="duplicateValues" dxfId="7" priority="10"/>
    <cfRule type="duplicateValues" dxfId="6" priority="11"/>
  </conditionalFormatting>
  <conditionalFormatting sqref="B45">
    <cfRule type="duplicateValues" dxfId="5" priority="6"/>
    <cfRule type="duplicateValues" dxfId="4" priority="7"/>
  </conditionalFormatting>
  <conditionalFormatting sqref="B46">
    <cfRule type="duplicateValues" dxfId="3" priority="5"/>
  </conditionalFormatting>
  <conditionalFormatting sqref="B47">
    <cfRule type="duplicateValues" dxfId="2" priority="4"/>
  </conditionalFormatting>
  <conditionalFormatting sqref="B48">
    <cfRule type="duplicateValues" dxfId="1" priority="3"/>
  </conditionalFormatting>
  <conditionalFormatting sqref="B49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王璨</dc:creator>
  <cp:lastModifiedBy>东越 吴</cp:lastModifiedBy>
  <dcterms:created xsi:type="dcterms:W3CDTF">2025-01-03T09:29:00Z</dcterms:created>
  <dcterms:modified xsi:type="dcterms:W3CDTF">2025-04-10T02:23:30Z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93B7C8FE31514DB7B1038DB3BB8FA03E_11</vt:lpwstr>
  </property>
  <property fmtid="{D5CDD505-2E9C-101B-9397-08002B2CF9AE}" pid="3" name="KSOProductBuildVer">
    <vt:lpwstr>2052-12.1.0.19770</vt:lpwstr>
  </property>
</Properties>
</file>